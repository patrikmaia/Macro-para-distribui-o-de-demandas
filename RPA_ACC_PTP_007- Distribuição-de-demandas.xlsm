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ts.accenture.com/sites/PTP-ONCOCLINICAS/Shared Documents/General/Macro/"/>
    </mc:Choice>
  </mc:AlternateContent>
  <xr:revisionPtr revIDLastSave="39938" documentId="13_ncr:1_{F9172465-5B39-45B2-9A3A-5961A938E1E4}" xr6:coauthVersionLast="47" xr6:coauthVersionMax="47" xr10:uidLastSave="{DD75F2E6-90A0-4805-8E58-EAFF6B7737FA}"/>
  <bookViews>
    <workbookView xWindow="-110" yWindow="-110" windowWidth="19420" windowHeight="10300" activeTab="1" xr2:uid="{00000000-000D-0000-FFFF-FFFF00000000}"/>
  </bookViews>
  <sheets>
    <sheet name="360" sheetId="9" r:id="rId1"/>
    <sheet name="Fluig" sheetId="10" r:id="rId2"/>
    <sheet name="Distribuição" sheetId="1" r:id="rId3"/>
    <sheet name="Media de distribuição" sheetId="12" r:id="rId4"/>
    <sheet name="Dinâmicas" sheetId="16" r:id="rId5"/>
    <sheet name="Nomes" sheetId="17" r:id="rId6"/>
    <sheet name="Como Utilizar" sheetId="14" r:id="rId7"/>
  </sheets>
  <functionGroups builtInGroupCount="19"/>
  <definedNames>
    <definedName name="_xlnm._FilterDatabase" localSheetId="0" hidden="1">'360'!#REF!</definedName>
    <definedName name="_xlnm._FilterDatabase" localSheetId="2" hidden="1">Distribuição!$A$2:$Q$773</definedName>
    <definedName name="_xlnm._FilterDatabase" localSheetId="1" hidden="1">Fluig!$A$2:$J$389</definedName>
  </definedNames>
  <calcPr calcId="191029"/>
  <pivotCaches>
    <pivotCache cacheId="4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13" i="1"/>
  <c r="P13" i="1" s="1"/>
  <c r="O63" i="1"/>
  <c r="P63" i="1" s="1"/>
  <c r="O64" i="1"/>
  <c r="P64" i="1" s="1"/>
  <c r="O14" i="1"/>
  <c r="P14" i="1" s="1"/>
  <c r="O15" i="1"/>
  <c r="P15" i="1" s="1"/>
  <c r="O65" i="1"/>
  <c r="P65" i="1" s="1"/>
  <c r="O16" i="1"/>
  <c r="P16" i="1" s="1"/>
  <c r="O66" i="1"/>
  <c r="P66" i="1" s="1"/>
  <c r="O17" i="1"/>
  <c r="P17" i="1" s="1"/>
  <c r="O18" i="1"/>
  <c r="P18" i="1" s="1"/>
  <c r="O67" i="1"/>
  <c r="P67" i="1" s="1"/>
  <c r="O68" i="1"/>
  <c r="P68" i="1" s="1"/>
  <c r="O19" i="1"/>
  <c r="P19" i="1" s="1"/>
  <c r="O20" i="1"/>
  <c r="P20" i="1" s="1"/>
  <c r="O21" i="1"/>
  <c r="P21" i="1" s="1"/>
  <c r="O22" i="1"/>
  <c r="P22" i="1" s="1"/>
  <c r="O23" i="1"/>
  <c r="P23" i="1" s="1"/>
  <c r="O69" i="1"/>
  <c r="P69" i="1" s="1"/>
  <c r="O70" i="1"/>
  <c r="P70" i="1" s="1"/>
  <c r="O71" i="1"/>
  <c r="P71" i="1" s="1"/>
  <c r="O72" i="1"/>
  <c r="P72" i="1" s="1"/>
  <c r="O73" i="1"/>
  <c r="P73" i="1" s="1"/>
  <c r="O24" i="1"/>
  <c r="P24" i="1" s="1"/>
  <c r="O74" i="1"/>
  <c r="P74" i="1" s="1"/>
  <c r="O75" i="1"/>
  <c r="P75" i="1" s="1"/>
  <c r="O76" i="1"/>
  <c r="P76" i="1" s="1"/>
  <c r="O77" i="1"/>
  <c r="P77" i="1" s="1"/>
  <c r="O78" i="1"/>
  <c r="P78" i="1" s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95" i="1"/>
  <c r="P95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O103" i="1"/>
  <c r="P103" i="1" s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112" i="1"/>
  <c r="P112" i="1" s="1"/>
  <c r="O113" i="1"/>
  <c r="P113" i="1" s="1"/>
  <c r="O114" i="1"/>
  <c r="P114" i="1" s="1"/>
  <c r="O115" i="1"/>
  <c r="P115" i="1" s="1"/>
  <c r="O116" i="1"/>
  <c r="P116" i="1" s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P122" i="1" s="1"/>
  <c r="O123" i="1"/>
  <c r="P123" i="1" s="1"/>
  <c r="O124" i="1"/>
  <c r="P124" i="1" s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5" i="1"/>
  <c r="P135" i="1" s="1"/>
  <c r="O136" i="1"/>
  <c r="P136" i="1" s="1"/>
  <c r="O137" i="1"/>
  <c r="P137" i="1" s="1"/>
  <c r="O138" i="1"/>
  <c r="P138" i="1" s="1"/>
  <c r="O139" i="1"/>
  <c r="P139" i="1" s="1"/>
  <c r="O140" i="1"/>
  <c r="P140" i="1" s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O147" i="1"/>
  <c r="P147" i="1" s="1"/>
  <c r="O148" i="1"/>
  <c r="P148" i="1" s="1"/>
  <c r="O149" i="1"/>
  <c r="P149" i="1" s="1"/>
  <c r="O150" i="1"/>
  <c r="P150" i="1" s="1"/>
  <c r="O151" i="1"/>
  <c r="P151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59" i="1"/>
  <c r="P159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O166" i="1"/>
  <c r="P166" i="1" s="1"/>
  <c r="O167" i="1"/>
  <c r="P167" i="1" s="1"/>
  <c r="O168" i="1"/>
  <c r="P168" i="1" s="1"/>
  <c r="O169" i="1"/>
  <c r="P169" i="1" s="1"/>
  <c r="O170" i="1"/>
  <c r="P170" i="1" s="1"/>
  <c r="O171" i="1"/>
  <c r="P171" i="1" s="1"/>
  <c r="O172" i="1"/>
  <c r="P172" i="1" s="1"/>
  <c r="O173" i="1"/>
  <c r="P173" i="1" s="1"/>
  <c r="O174" i="1"/>
  <c r="P174" i="1" s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P185" i="1" s="1"/>
  <c r="O186" i="1"/>
  <c r="P186" i="1" s="1"/>
  <c r="O187" i="1"/>
  <c r="P187" i="1" s="1"/>
  <c r="O188" i="1"/>
  <c r="P188" i="1" s="1"/>
  <c r="O189" i="1"/>
  <c r="P189" i="1" s="1"/>
  <c r="O190" i="1"/>
  <c r="P190" i="1" s="1"/>
  <c r="O191" i="1"/>
  <c r="P191" i="1" s="1"/>
  <c r="O192" i="1"/>
  <c r="P192" i="1" s="1"/>
  <c r="O193" i="1"/>
  <c r="P193" i="1" s="1"/>
  <c r="O194" i="1"/>
  <c r="P194" i="1" s="1"/>
  <c r="O195" i="1"/>
  <c r="P195" i="1" s="1"/>
  <c r="O196" i="1"/>
  <c r="P196" i="1" s="1"/>
  <c r="O197" i="1"/>
  <c r="P197" i="1" s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4" i="1"/>
  <c r="P204" i="1" s="1"/>
  <c r="O205" i="1"/>
  <c r="P205" i="1" s="1"/>
  <c r="O206" i="1"/>
  <c r="P206" i="1" s="1"/>
  <c r="O207" i="1"/>
  <c r="P207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214" i="1"/>
  <c r="P214" i="1" s="1"/>
  <c r="O215" i="1"/>
  <c r="P215" i="1" s="1"/>
  <c r="O216" i="1"/>
  <c r="P216" i="1" s="1"/>
  <c r="O217" i="1"/>
  <c r="P217" i="1" s="1"/>
  <c r="O218" i="1"/>
  <c r="P218" i="1" s="1"/>
  <c r="O219" i="1"/>
  <c r="P219" i="1" s="1"/>
  <c r="O220" i="1"/>
  <c r="P220" i="1" s="1"/>
  <c r="O221" i="1"/>
  <c r="P221" i="1" s="1"/>
  <c r="O222" i="1"/>
  <c r="P222" i="1" s="1"/>
  <c r="O223" i="1"/>
  <c r="P223" i="1" s="1"/>
  <c r="O224" i="1"/>
  <c r="P224" i="1" s="1"/>
  <c r="O225" i="1"/>
  <c r="P225" i="1" s="1"/>
  <c r="O226" i="1"/>
  <c r="P226" i="1" s="1"/>
  <c r="O227" i="1"/>
  <c r="P227" i="1" s="1"/>
  <c r="O228" i="1"/>
  <c r="P228" i="1" s="1"/>
  <c r="O229" i="1"/>
  <c r="P229" i="1" s="1"/>
  <c r="O230" i="1"/>
  <c r="P230" i="1" s="1"/>
  <c r="O231" i="1"/>
  <c r="P231" i="1" s="1"/>
  <c r="O232" i="1"/>
  <c r="P232" i="1" s="1"/>
  <c r="O233" i="1"/>
  <c r="P233" i="1" s="1"/>
  <c r="O234" i="1"/>
  <c r="P234" i="1" s="1"/>
  <c r="O235" i="1"/>
  <c r="P235" i="1" s="1"/>
  <c r="O236" i="1"/>
  <c r="P236" i="1" s="1"/>
  <c r="O237" i="1"/>
  <c r="P237" i="1" s="1"/>
  <c r="O238" i="1"/>
  <c r="P238" i="1" s="1"/>
  <c r="O239" i="1"/>
  <c r="P239" i="1" s="1"/>
  <c r="O240" i="1"/>
  <c r="P240" i="1" s="1"/>
  <c r="O241" i="1"/>
  <c r="P241" i="1" s="1"/>
  <c r="O242" i="1"/>
  <c r="P242" i="1" s="1"/>
  <c r="O243" i="1"/>
  <c r="P243" i="1" s="1"/>
  <c r="O244" i="1"/>
  <c r="P244" i="1" s="1"/>
  <c r="O245" i="1"/>
  <c r="P245" i="1" s="1"/>
  <c r="O246" i="1"/>
  <c r="P246" i="1" s="1"/>
  <c r="O247" i="1"/>
  <c r="P247" i="1" s="1"/>
  <c r="O248" i="1"/>
  <c r="P248" i="1" s="1"/>
  <c r="O249" i="1"/>
  <c r="P249" i="1" s="1"/>
  <c r="O250" i="1"/>
  <c r="P250" i="1" s="1"/>
  <c r="O251" i="1"/>
  <c r="P251" i="1" s="1"/>
  <c r="O252" i="1"/>
  <c r="P252" i="1" s="1"/>
  <c r="O253" i="1"/>
  <c r="P253" i="1" s="1"/>
  <c r="O254" i="1"/>
  <c r="P254" i="1" s="1"/>
  <c r="O255" i="1"/>
  <c r="P255" i="1" s="1"/>
  <c r="O256" i="1"/>
  <c r="P256" i="1" s="1"/>
  <c r="O257" i="1"/>
  <c r="P257" i="1" s="1"/>
  <c r="O258" i="1"/>
  <c r="P258" i="1" s="1"/>
  <c r="O259" i="1"/>
  <c r="P259" i="1" s="1"/>
  <c r="O260" i="1"/>
  <c r="P260" i="1" s="1"/>
  <c r="O261" i="1"/>
  <c r="P261" i="1" s="1"/>
  <c r="O262" i="1"/>
  <c r="P262" i="1" s="1"/>
  <c r="O263" i="1"/>
  <c r="P263" i="1" s="1"/>
  <c r="O264" i="1"/>
  <c r="P264" i="1" s="1"/>
  <c r="O265" i="1"/>
  <c r="P265" i="1" s="1"/>
  <c r="O266" i="1"/>
  <c r="P266" i="1" s="1"/>
  <c r="O267" i="1"/>
  <c r="P267" i="1" s="1"/>
  <c r="O268" i="1"/>
  <c r="P268" i="1" s="1"/>
  <c r="O269" i="1"/>
  <c r="P269" i="1" s="1"/>
  <c r="O270" i="1"/>
  <c r="P270" i="1" s="1"/>
  <c r="O271" i="1"/>
  <c r="P271" i="1" s="1"/>
  <c r="O272" i="1"/>
  <c r="P272" i="1" s="1"/>
  <c r="O273" i="1"/>
  <c r="P273" i="1" s="1"/>
  <c r="O274" i="1"/>
  <c r="P274" i="1" s="1"/>
  <c r="O275" i="1"/>
  <c r="P275" i="1" s="1"/>
  <c r="O276" i="1"/>
  <c r="P276" i="1" s="1"/>
  <c r="O277" i="1"/>
  <c r="P277" i="1" s="1"/>
  <c r="O278" i="1"/>
  <c r="P278" i="1" s="1"/>
  <c r="O279" i="1"/>
  <c r="P279" i="1" s="1"/>
  <c r="O280" i="1"/>
  <c r="P280" i="1" s="1"/>
  <c r="O281" i="1"/>
  <c r="P281" i="1" s="1"/>
  <c r="O282" i="1"/>
  <c r="P282" i="1" s="1"/>
  <c r="O283" i="1"/>
  <c r="P283" i="1" s="1"/>
  <c r="O284" i="1"/>
  <c r="P284" i="1" s="1"/>
  <c r="O285" i="1"/>
  <c r="P285" i="1" s="1"/>
  <c r="O286" i="1"/>
  <c r="P286" i="1" s="1"/>
  <c r="O287" i="1"/>
  <c r="P287" i="1" s="1"/>
  <c r="O288" i="1"/>
  <c r="P288" i="1" s="1"/>
  <c r="O289" i="1"/>
  <c r="P289" i="1" s="1"/>
  <c r="O290" i="1"/>
  <c r="P290" i="1" s="1"/>
  <c r="O291" i="1"/>
  <c r="P291" i="1" s="1"/>
  <c r="O292" i="1"/>
  <c r="P292" i="1" s="1"/>
  <c r="O293" i="1"/>
  <c r="P293" i="1" s="1"/>
  <c r="O294" i="1"/>
  <c r="P294" i="1" s="1"/>
  <c r="O295" i="1"/>
  <c r="P295" i="1" s="1"/>
  <c r="O296" i="1"/>
  <c r="P296" i="1" s="1"/>
  <c r="O297" i="1"/>
  <c r="P297" i="1" s="1"/>
  <c r="O298" i="1"/>
  <c r="P298" i="1" s="1"/>
  <c r="O299" i="1"/>
  <c r="P299" i="1" s="1"/>
  <c r="O300" i="1"/>
  <c r="P300" i="1" s="1"/>
  <c r="O301" i="1"/>
  <c r="P301" i="1" s="1"/>
  <c r="O302" i="1"/>
  <c r="P302" i="1" s="1"/>
  <c r="O303" i="1"/>
  <c r="P303" i="1" s="1"/>
  <c r="O304" i="1"/>
  <c r="P304" i="1" s="1"/>
  <c r="O305" i="1"/>
  <c r="P305" i="1" s="1"/>
  <c r="O306" i="1"/>
  <c r="P306" i="1" s="1"/>
  <c r="O307" i="1"/>
  <c r="P307" i="1" s="1"/>
  <c r="O308" i="1"/>
  <c r="P308" i="1" s="1"/>
  <c r="O309" i="1"/>
  <c r="P309" i="1" s="1"/>
  <c r="O310" i="1"/>
  <c r="P310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7" i="1"/>
  <c r="P327" i="1" s="1"/>
  <c r="O328" i="1"/>
  <c r="P328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O337" i="1"/>
  <c r="P337" i="1" s="1"/>
  <c r="O338" i="1"/>
  <c r="P338" i="1" s="1"/>
  <c r="O339" i="1"/>
  <c r="P339" i="1" s="1"/>
  <c r="O340" i="1"/>
  <c r="P340" i="1" s="1"/>
  <c r="O341" i="1"/>
  <c r="P341" i="1" s="1"/>
  <c r="O342" i="1"/>
  <c r="P342" i="1" s="1"/>
  <c r="O343" i="1"/>
  <c r="P343" i="1" s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O351" i="1"/>
  <c r="P351" i="1" s="1"/>
  <c r="O352" i="1"/>
  <c r="P352" i="1" s="1"/>
  <c r="O353" i="1"/>
  <c r="P353" i="1" s="1"/>
  <c r="O354" i="1"/>
  <c r="P354" i="1" s="1"/>
  <c r="O355" i="1"/>
  <c r="P355" i="1" s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O369" i="1"/>
  <c r="P369" i="1" s="1"/>
  <c r="O370" i="1"/>
  <c r="P370" i="1" s="1"/>
  <c r="O371" i="1"/>
  <c r="P371" i="1" s="1"/>
  <c r="O372" i="1"/>
  <c r="P372" i="1" s="1"/>
  <c r="O373" i="1"/>
  <c r="P373" i="1" s="1"/>
  <c r="O374" i="1"/>
  <c r="P374" i="1" s="1"/>
  <c r="O375" i="1"/>
  <c r="P375" i="1" s="1"/>
  <c r="O376" i="1"/>
  <c r="P376" i="1" s="1"/>
  <c r="O377" i="1"/>
  <c r="P377" i="1" s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P387" i="1" s="1"/>
  <c r="O388" i="1"/>
  <c r="P388" i="1" s="1"/>
  <c r="O389" i="1"/>
  <c r="P389" i="1" s="1"/>
  <c r="O390" i="1"/>
  <c r="P390" i="1" s="1"/>
  <c r="O391" i="1"/>
  <c r="P391" i="1" s="1"/>
  <c r="O392" i="1"/>
  <c r="P392" i="1" s="1"/>
  <c r="O393" i="1"/>
  <c r="P393" i="1" s="1"/>
  <c r="O394" i="1"/>
  <c r="P394" i="1" s="1"/>
  <c r="O395" i="1"/>
  <c r="P395" i="1" s="1"/>
  <c r="O396" i="1"/>
  <c r="P396" i="1" s="1"/>
  <c r="O397" i="1"/>
  <c r="P397" i="1" s="1"/>
  <c r="O398" i="1"/>
  <c r="P398" i="1" s="1"/>
  <c r="O399" i="1"/>
  <c r="P399" i="1" s="1"/>
  <c r="O400" i="1"/>
  <c r="P400" i="1" s="1"/>
  <c r="O401" i="1"/>
  <c r="P401" i="1" s="1"/>
  <c r="O402" i="1"/>
  <c r="P402" i="1" s="1"/>
  <c r="O403" i="1"/>
  <c r="P403" i="1" s="1"/>
  <c r="O404" i="1"/>
  <c r="P404" i="1" s="1"/>
  <c r="O405" i="1"/>
  <c r="P405" i="1" s="1"/>
  <c r="O406" i="1"/>
  <c r="P406" i="1" s="1"/>
  <c r="O407" i="1"/>
  <c r="P407" i="1" s="1"/>
  <c r="O408" i="1"/>
  <c r="P408" i="1" s="1"/>
  <c r="O409" i="1"/>
  <c r="P409" i="1" s="1"/>
  <c r="O410" i="1"/>
  <c r="P410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2" i="1"/>
  <c r="P422" i="1" s="1"/>
  <c r="O423" i="1"/>
  <c r="P423" i="1" s="1"/>
  <c r="O424" i="1"/>
  <c r="P424" i="1" s="1"/>
  <c r="O425" i="1"/>
  <c r="P425" i="1" s="1"/>
  <c r="O426" i="1"/>
  <c r="P426" i="1" s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4" i="1"/>
  <c r="P434" i="1" s="1"/>
  <c r="O435" i="1"/>
  <c r="P435" i="1" s="1"/>
  <c r="O436" i="1"/>
  <c r="P436" i="1" s="1"/>
  <c r="O437" i="1"/>
  <c r="P437" i="1" s="1"/>
  <c r="O438" i="1"/>
  <c r="P438" i="1" s="1"/>
  <c r="O439" i="1"/>
  <c r="P439" i="1" s="1"/>
  <c r="O440" i="1"/>
  <c r="P440" i="1" s="1"/>
  <c r="O441" i="1"/>
  <c r="P441" i="1" s="1"/>
  <c r="O442" i="1"/>
  <c r="P442" i="1" s="1"/>
  <c r="O443" i="1"/>
  <c r="P443" i="1" s="1"/>
  <c r="O444" i="1"/>
  <c r="P444" i="1" s="1"/>
  <c r="O445" i="1"/>
  <c r="P445" i="1" s="1"/>
  <c r="O446" i="1"/>
  <c r="P446" i="1" s="1"/>
  <c r="O447" i="1"/>
  <c r="P447" i="1" s="1"/>
  <c r="O448" i="1"/>
  <c r="P448" i="1" s="1"/>
  <c r="O449" i="1"/>
  <c r="P449" i="1" s="1"/>
  <c r="O450" i="1"/>
  <c r="P450" i="1" s="1"/>
  <c r="O451" i="1"/>
  <c r="P451" i="1" s="1"/>
  <c r="O452" i="1"/>
  <c r="P452" i="1" s="1"/>
  <c r="O453" i="1"/>
  <c r="P453" i="1" s="1"/>
  <c r="O454" i="1"/>
  <c r="P454" i="1" s="1"/>
  <c r="O455" i="1"/>
  <c r="P455" i="1" s="1"/>
  <c r="O456" i="1"/>
  <c r="P456" i="1" s="1"/>
  <c r="O457" i="1"/>
  <c r="P457" i="1" s="1"/>
  <c r="O458" i="1"/>
  <c r="P458" i="1" s="1"/>
  <c r="O459" i="1"/>
  <c r="P459" i="1" s="1"/>
  <c r="O460" i="1"/>
  <c r="P460" i="1" s="1"/>
  <c r="O461" i="1"/>
  <c r="P461" i="1" s="1"/>
  <c r="O462" i="1"/>
  <c r="P462" i="1" s="1"/>
  <c r="O463" i="1"/>
  <c r="P463" i="1" s="1"/>
  <c r="O464" i="1"/>
  <c r="P464" i="1" s="1"/>
  <c r="O465" i="1"/>
  <c r="P465" i="1" s="1"/>
  <c r="O466" i="1"/>
  <c r="P466" i="1" s="1"/>
  <c r="O467" i="1"/>
  <c r="P467" i="1" s="1"/>
  <c r="O468" i="1"/>
  <c r="P468" i="1" s="1"/>
  <c r="O469" i="1"/>
  <c r="P469" i="1" s="1"/>
  <c r="O470" i="1"/>
  <c r="P470" i="1" s="1"/>
  <c r="O471" i="1"/>
  <c r="P471" i="1" s="1"/>
  <c r="O472" i="1"/>
  <c r="P472" i="1" s="1"/>
  <c r="O473" i="1"/>
  <c r="P473" i="1" s="1"/>
  <c r="O474" i="1"/>
  <c r="P474" i="1" s="1"/>
  <c r="O475" i="1"/>
  <c r="P475" i="1" s="1"/>
  <c r="O476" i="1"/>
  <c r="P476" i="1" s="1"/>
  <c r="O477" i="1"/>
  <c r="P477" i="1" s="1"/>
  <c r="O478" i="1"/>
  <c r="P478" i="1" s="1"/>
  <c r="O479" i="1"/>
  <c r="P479" i="1" s="1"/>
  <c r="O480" i="1"/>
  <c r="P480" i="1" s="1"/>
  <c r="O481" i="1"/>
  <c r="P481" i="1" s="1"/>
  <c r="O482" i="1"/>
  <c r="P482" i="1" s="1"/>
  <c r="O483" i="1"/>
  <c r="P483" i="1" s="1"/>
  <c r="O484" i="1"/>
  <c r="P484" i="1" s="1"/>
  <c r="O485" i="1"/>
  <c r="P485" i="1" s="1"/>
  <c r="O486" i="1"/>
  <c r="P486" i="1" s="1"/>
  <c r="O487" i="1"/>
  <c r="P487" i="1" s="1"/>
  <c r="O488" i="1"/>
  <c r="P488" i="1" s="1"/>
  <c r="O489" i="1"/>
  <c r="P489" i="1" s="1"/>
  <c r="O490" i="1"/>
  <c r="P490" i="1" s="1"/>
  <c r="O491" i="1"/>
  <c r="P491" i="1" s="1"/>
  <c r="O492" i="1"/>
  <c r="P492" i="1" s="1"/>
  <c r="O493" i="1"/>
  <c r="P493" i="1" s="1"/>
  <c r="O494" i="1"/>
  <c r="P494" i="1" s="1"/>
  <c r="O495" i="1"/>
  <c r="P495" i="1" s="1"/>
  <c r="O496" i="1"/>
  <c r="P496" i="1" s="1"/>
  <c r="O497" i="1"/>
  <c r="P497" i="1" s="1"/>
  <c r="O498" i="1"/>
  <c r="P498" i="1" s="1"/>
  <c r="O499" i="1"/>
  <c r="P499" i="1" s="1"/>
  <c r="O500" i="1"/>
  <c r="P500" i="1" s="1"/>
  <c r="O501" i="1"/>
  <c r="P501" i="1" s="1"/>
  <c r="O502" i="1"/>
  <c r="P502" i="1" s="1"/>
  <c r="O503" i="1"/>
  <c r="P503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4" i="1"/>
  <c r="P524" i="1" s="1"/>
  <c r="O525" i="1"/>
  <c r="P525" i="1" s="1"/>
  <c r="O526" i="1"/>
  <c r="P526" i="1" s="1"/>
  <c r="O527" i="1"/>
  <c r="P527" i="1" s="1"/>
  <c r="O528" i="1"/>
  <c r="P528" i="1" s="1"/>
  <c r="O529" i="1"/>
  <c r="P529" i="1" s="1"/>
  <c r="O530" i="1"/>
  <c r="P530" i="1" s="1"/>
  <c r="O531" i="1"/>
  <c r="P531" i="1" s="1"/>
  <c r="O532" i="1"/>
  <c r="P532" i="1" s="1"/>
  <c r="O533" i="1"/>
  <c r="P533" i="1" s="1"/>
  <c r="O534" i="1"/>
  <c r="P534" i="1" s="1"/>
  <c r="O535" i="1"/>
  <c r="P535" i="1" s="1"/>
  <c r="O536" i="1"/>
  <c r="P536" i="1" s="1"/>
  <c r="O537" i="1"/>
  <c r="P537" i="1" s="1"/>
  <c r="O538" i="1"/>
  <c r="P538" i="1" s="1"/>
  <c r="O539" i="1"/>
  <c r="P539" i="1" s="1"/>
  <c r="O540" i="1"/>
  <c r="P540" i="1" s="1"/>
  <c r="O541" i="1"/>
  <c r="P541" i="1" s="1"/>
  <c r="O542" i="1"/>
  <c r="P542" i="1" s="1"/>
  <c r="O543" i="1"/>
  <c r="P543" i="1" s="1"/>
  <c r="O544" i="1"/>
  <c r="P544" i="1" s="1"/>
  <c r="O545" i="1"/>
  <c r="P545" i="1" s="1"/>
  <c r="O546" i="1"/>
  <c r="P546" i="1" s="1"/>
  <c r="O547" i="1"/>
  <c r="P547" i="1" s="1"/>
  <c r="O548" i="1"/>
  <c r="P548" i="1" s="1"/>
  <c r="O549" i="1"/>
  <c r="P549" i="1" s="1"/>
  <c r="O550" i="1"/>
  <c r="P550" i="1" s="1"/>
  <c r="O551" i="1"/>
  <c r="P551" i="1" s="1"/>
  <c r="O552" i="1"/>
  <c r="P552" i="1" s="1"/>
  <c r="O553" i="1"/>
  <c r="P553" i="1" s="1"/>
  <c r="O554" i="1"/>
  <c r="P554" i="1" s="1"/>
  <c r="O555" i="1"/>
  <c r="P555" i="1" s="1"/>
  <c r="O556" i="1"/>
  <c r="P556" i="1" s="1"/>
  <c r="O557" i="1"/>
  <c r="P557" i="1" s="1"/>
  <c r="O558" i="1"/>
  <c r="P558" i="1" s="1"/>
  <c r="O559" i="1"/>
  <c r="P559" i="1" s="1"/>
  <c r="O560" i="1"/>
  <c r="P560" i="1" s="1"/>
  <c r="O561" i="1"/>
  <c r="P561" i="1" s="1"/>
  <c r="O562" i="1"/>
  <c r="P562" i="1" s="1"/>
  <c r="O563" i="1"/>
  <c r="P563" i="1" s="1"/>
  <c r="O564" i="1"/>
  <c r="P564" i="1" s="1"/>
  <c r="O565" i="1"/>
  <c r="P565" i="1" s="1"/>
  <c r="O566" i="1"/>
  <c r="P566" i="1" s="1"/>
  <c r="O567" i="1"/>
  <c r="P567" i="1" s="1"/>
  <c r="O568" i="1"/>
  <c r="P568" i="1" s="1"/>
  <c r="O569" i="1"/>
  <c r="P569" i="1" s="1"/>
  <c r="O570" i="1"/>
  <c r="P570" i="1" s="1"/>
  <c r="O571" i="1"/>
  <c r="P571" i="1" s="1"/>
  <c r="O572" i="1"/>
  <c r="P572" i="1" s="1"/>
  <c r="O573" i="1"/>
  <c r="P573" i="1" s="1"/>
  <c r="O574" i="1"/>
  <c r="P574" i="1" s="1"/>
  <c r="O575" i="1"/>
  <c r="P575" i="1" s="1"/>
  <c r="O576" i="1"/>
  <c r="P576" i="1" s="1"/>
  <c r="O577" i="1"/>
  <c r="P577" i="1" s="1"/>
  <c r="O578" i="1"/>
  <c r="P578" i="1" s="1"/>
  <c r="O579" i="1"/>
  <c r="P579" i="1" s="1"/>
  <c r="O580" i="1"/>
  <c r="P580" i="1" s="1"/>
  <c r="O581" i="1"/>
  <c r="P581" i="1" s="1"/>
  <c r="O582" i="1"/>
  <c r="P582" i="1" s="1"/>
  <c r="O583" i="1"/>
  <c r="P583" i="1" s="1"/>
  <c r="O584" i="1"/>
  <c r="P584" i="1" s="1"/>
  <c r="O585" i="1"/>
  <c r="P585" i="1" s="1"/>
  <c r="O586" i="1"/>
  <c r="P586" i="1" s="1"/>
  <c r="O587" i="1"/>
  <c r="P587" i="1" s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4" i="1"/>
  <c r="P594" i="1" s="1"/>
  <c r="O595" i="1"/>
  <c r="P595" i="1" s="1"/>
  <c r="O596" i="1"/>
  <c r="P596" i="1" s="1"/>
  <c r="O597" i="1"/>
  <c r="P597" i="1" s="1"/>
  <c r="O598" i="1"/>
  <c r="P598" i="1" s="1"/>
  <c r="O599" i="1"/>
  <c r="P599" i="1" s="1"/>
  <c r="O600" i="1"/>
  <c r="P600" i="1" s="1"/>
  <c r="O601" i="1"/>
  <c r="P601" i="1" s="1"/>
  <c r="O602" i="1"/>
  <c r="P602" i="1" s="1"/>
  <c r="O603" i="1"/>
  <c r="P603" i="1" s="1"/>
  <c r="O604" i="1"/>
  <c r="P604" i="1" s="1"/>
  <c r="O605" i="1"/>
  <c r="P605" i="1" s="1"/>
  <c r="O606" i="1"/>
  <c r="P606" i="1" s="1"/>
  <c r="O607" i="1"/>
  <c r="P607" i="1" s="1"/>
  <c r="O608" i="1"/>
  <c r="P608" i="1" s="1"/>
  <c r="O609" i="1"/>
  <c r="P609" i="1" s="1"/>
  <c r="O610" i="1"/>
  <c r="P610" i="1" s="1"/>
  <c r="O611" i="1"/>
  <c r="P611" i="1" s="1"/>
  <c r="O612" i="1"/>
  <c r="P612" i="1" s="1"/>
  <c r="O613" i="1"/>
  <c r="P613" i="1" s="1"/>
  <c r="O614" i="1"/>
  <c r="P614" i="1" s="1"/>
  <c r="O615" i="1"/>
  <c r="P615" i="1" s="1"/>
  <c r="O616" i="1"/>
  <c r="P616" i="1" s="1"/>
  <c r="O617" i="1"/>
  <c r="P617" i="1" s="1"/>
  <c r="O618" i="1"/>
  <c r="P618" i="1" s="1"/>
  <c r="O619" i="1"/>
  <c r="P619" i="1" s="1"/>
  <c r="O620" i="1"/>
  <c r="P620" i="1" s="1"/>
  <c r="O621" i="1"/>
  <c r="P621" i="1" s="1"/>
  <c r="O622" i="1"/>
  <c r="P622" i="1" s="1"/>
  <c r="O623" i="1"/>
  <c r="P623" i="1" s="1"/>
  <c r="O624" i="1"/>
  <c r="P624" i="1" s="1"/>
  <c r="O625" i="1"/>
  <c r="P625" i="1" s="1"/>
  <c r="O626" i="1"/>
  <c r="P626" i="1" s="1"/>
  <c r="O25" i="1"/>
  <c r="P25" i="1" s="1"/>
  <c r="O26" i="1"/>
  <c r="P26" i="1" s="1"/>
  <c r="O627" i="1"/>
  <c r="P627" i="1" s="1"/>
  <c r="O628" i="1"/>
  <c r="P628" i="1" s="1"/>
  <c r="O629" i="1"/>
  <c r="P629" i="1" s="1"/>
  <c r="O630" i="1"/>
  <c r="P630" i="1" s="1"/>
  <c r="O27" i="1"/>
  <c r="P27" i="1" s="1"/>
  <c r="O631" i="1"/>
  <c r="P631" i="1" s="1"/>
  <c r="O632" i="1"/>
  <c r="P632" i="1" s="1"/>
  <c r="O633" i="1"/>
  <c r="P633" i="1" s="1"/>
  <c r="O634" i="1"/>
  <c r="P634" i="1" s="1"/>
  <c r="O635" i="1"/>
  <c r="P635" i="1" s="1"/>
  <c r="O636" i="1"/>
  <c r="P636" i="1" s="1"/>
  <c r="O637" i="1"/>
  <c r="P637" i="1" s="1"/>
  <c r="O638" i="1"/>
  <c r="P638" i="1" s="1"/>
  <c r="O639" i="1"/>
  <c r="P639" i="1" s="1"/>
  <c r="O28" i="1"/>
  <c r="P28" i="1" s="1"/>
  <c r="O29" i="1"/>
  <c r="P29" i="1" s="1"/>
  <c r="O30" i="1"/>
  <c r="P30" i="1" s="1"/>
  <c r="O31" i="1"/>
  <c r="P31" i="1" s="1"/>
  <c r="O640" i="1"/>
  <c r="P640" i="1" s="1"/>
  <c r="O32" i="1"/>
  <c r="P32" i="1" s="1"/>
  <c r="O641" i="1"/>
  <c r="P641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P41" i="1" s="1"/>
  <c r="O42" i="1"/>
  <c r="P42" i="1" s="1"/>
  <c r="O43" i="1"/>
  <c r="P43" i="1" s="1"/>
  <c r="O44" i="1"/>
  <c r="P44" i="1" s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P53" i="1" s="1"/>
  <c r="O54" i="1"/>
  <c r="P54" i="1" s="1"/>
  <c r="O642" i="1"/>
  <c r="P642" i="1" s="1"/>
  <c r="O643" i="1"/>
  <c r="P643" i="1" s="1"/>
  <c r="O644" i="1"/>
  <c r="P644" i="1" s="1"/>
  <c r="O55" i="1"/>
  <c r="P55" i="1" s="1"/>
  <c r="O645" i="1"/>
  <c r="P645" i="1" s="1"/>
  <c r="O646" i="1"/>
  <c r="P646" i="1" s="1"/>
  <c r="O647" i="1"/>
  <c r="P647" i="1" s="1"/>
  <c r="O648" i="1"/>
  <c r="P648" i="1" s="1"/>
  <c r="O649" i="1"/>
  <c r="P649" i="1" s="1"/>
  <c r="O650" i="1"/>
  <c r="P650" i="1" s="1"/>
  <c r="O651" i="1"/>
  <c r="P651" i="1" s="1"/>
  <c r="O652" i="1"/>
  <c r="P652" i="1" s="1"/>
  <c r="O653" i="1"/>
  <c r="P653" i="1" s="1"/>
  <c r="O654" i="1"/>
  <c r="P654" i="1" s="1"/>
  <c r="O655" i="1"/>
  <c r="P655" i="1" s="1"/>
  <c r="O656" i="1"/>
  <c r="P656" i="1" s="1"/>
  <c r="O657" i="1"/>
  <c r="P657" i="1" s="1"/>
  <c r="O658" i="1"/>
  <c r="P658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673" i="1"/>
  <c r="P673" i="1" s="1"/>
  <c r="O674" i="1"/>
  <c r="P674" i="1" s="1"/>
  <c r="O675" i="1"/>
  <c r="P675" i="1" s="1"/>
  <c r="O676" i="1"/>
  <c r="P676" i="1" s="1"/>
  <c r="O677" i="1"/>
  <c r="P677" i="1" s="1"/>
  <c r="O678" i="1"/>
  <c r="P678" i="1" s="1"/>
  <c r="O679" i="1"/>
  <c r="P679" i="1" s="1"/>
  <c r="O680" i="1"/>
  <c r="P680" i="1" s="1"/>
  <c r="O681" i="1"/>
  <c r="P681" i="1" s="1"/>
  <c r="O682" i="1"/>
  <c r="P682" i="1" s="1"/>
  <c r="O683" i="1"/>
  <c r="P683" i="1" s="1"/>
  <c r="O684" i="1"/>
  <c r="P684" i="1" s="1"/>
  <c r="O685" i="1"/>
  <c r="P685" i="1" s="1"/>
  <c r="O686" i="1"/>
  <c r="P686" i="1" s="1"/>
  <c r="O687" i="1"/>
  <c r="P687" i="1" s="1"/>
  <c r="O688" i="1"/>
  <c r="P688" i="1" s="1"/>
  <c r="O689" i="1"/>
  <c r="P689" i="1" s="1"/>
  <c r="O690" i="1"/>
  <c r="P690" i="1" s="1"/>
  <c r="O691" i="1"/>
  <c r="P691" i="1" s="1"/>
  <c r="O692" i="1"/>
  <c r="P692" i="1" s="1"/>
  <c r="O693" i="1"/>
  <c r="P693" i="1" s="1"/>
  <c r="O694" i="1"/>
  <c r="P694" i="1" s="1"/>
  <c r="O695" i="1"/>
  <c r="P695" i="1" s="1"/>
  <c r="O696" i="1"/>
  <c r="P696" i="1" s="1"/>
  <c r="O697" i="1"/>
  <c r="P697" i="1" s="1"/>
  <c r="O698" i="1"/>
  <c r="P698" i="1" s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2" i="1"/>
  <c r="P712" i="1" s="1"/>
  <c r="O713" i="1"/>
  <c r="P713" i="1" s="1"/>
  <c r="O714" i="1"/>
  <c r="P714" i="1" s="1"/>
  <c r="O715" i="1"/>
  <c r="P715" i="1" s="1"/>
  <c r="O716" i="1"/>
  <c r="P716" i="1" s="1"/>
  <c r="O717" i="1"/>
  <c r="P717" i="1" s="1"/>
  <c r="O718" i="1"/>
  <c r="P718" i="1" s="1"/>
  <c r="O719" i="1"/>
  <c r="P719" i="1" s="1"/>
  <c r="O720" i="1"/>
  <c r="P720" i="1" s="1"/>
  <c r="O721" i="1"/>
  <c r="P721" i="1" s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O731" i="1"/>
  <c r="P731" i="1" s="1"/>
  <c r="O732" i="1"/>
  <c r="P732" i="1" s="1"/>
  <c r="O733" i="1"/>
  <c r="P733" i="1" s="1"/>
  <c r="O734" i="1"/>
  <c r="P734" i="1" s="1"/>
  <c r="O735" i="1"/>
  <c r="P735" i="1" s="1"/>
  <c r="O736" i="1"/>
  <c r="P736" i="1" s="1"/>
  <c r="O737" i="1"/>
  <c r="P737" i="1" s="1"/>
  <c r="O738" i="1"/>
  <c r="P738" i="1" s="1"/>
  <c r="O739" i="1"/>
  <c r="P739" i="1" s="1"/>
  <c r="O740" i="1"/>
  <c r="P740" i="1" s="1"/>
  <c r="O741" i="1"/>
  <c r="P741" i="1" s="1"/>
  <c r="O742" i="1"/>
  <c r="P742" i="1" s="1"/>
  <c r="O743" i="1"/>
  <c r="P743" i="1" s="1"/>
  <c r="O744" i="1"/>
  <c r="P744" i="1" s="1"/>
  <c r="O745" i="1"/>
  <c r="P745" i="1" s="1"/>
  <c r="O746" i="1"/>
  <c r="P746" i="1" s="1"/>
  <c r="O747" i="1"/>
  <c r="P747" i="1" s="1"/>
  <c r="O748" i="1"/>
  <c r="P748" i="1" s="1"/>
  <c r="O749" i="1"/>
  <c r="P749" i="1" s="1"/>
  <c r="O750" i="1"/>
  <c r="P750" i="1" s="1"/>
  <c r="O751" i="1"/>
  <c r="P751" i="1" s="1"/>
  <c r="O752" i="1"/>
  <c r="P752" i="1" s="1"/>
  <c r="O56" i="1"/>
  <c r="P56" i="1" s="1"/>
  <c r="O753" i="1"/>
  <c r="P753" i="1" s="1"/>
  <c r="O754" i="1"/>
  <c r="P754" i="1" s="1"/>
  <c r="O755" i="1"/>
  <c r="P755" i="1" s="1"/>
  <c r="O756" i="1"/>
  <c r="P756" i="1" s="1"/>
  <c r="O757" i="1"/>
  <c r="P757" i="1" s="1"/>
  <c r="O758" i="1"/>
  <c r="P758" i="1" s="1"/>
  <c r="O759" i="1"/>
  <c r="P759" i="1" s="1"/>
  <c r="O760" i="1"/>
  <c r="P760" i="1" s="1"/>
  <c r="O761" i="1"/>
  <c r="P761" i="1" s="1"/>
  <c r="O762" i="1"/>
  <c r="P762" i="1" s="1"/>
  <c r="O763" i="1"/>
  <c r="P763" i="1" s="1"/>
  <c r="O764" i="1"/>
  <c r="P764" i="1" s="1"/>
  <c r="O765" i="1"/>
  <c r="P76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O772" i="1"/>
  <c r="P772" i="1" s="1"/>
  <c r="O773" i="1"/>
  <c r="P773" i="1" s="1"/>
  <c r="N3" i="1"/>
  <c r="N4" i="1"/>
  <c r="N5" i="1"/>
  <c r="N6" i="1"/>
  <c r="N7" i="1"/>
  <c r="N8" i="1"/>
  <c r="N9" i="1"/>
  <c r="N10" i="1"/>
  <c r="N11" i="1"/>
  <c r="N12" i="1"/>
  <c r="N57" i="1"/>
  <c r="N58" i="1"/>
  <c r="N59" i="1"/>
  <c r="N60" i="1"/>
  <c r="N61" i="1"/>
  <c r="N62" i="1"/>
  <c r="N13" i="1"/>
  <c r="N63" i="1"/>
  <c r="N64" i="1"/>
  <c r="N14" i="1"/>
  <c r="N15" i="1"/>
  <c r="N65" i="1"/>
  <c r="N16" i="1"/>
  <c r="N66" i="1"/>
  <c r="N17" i="1"/>
  <c r="N18" i="1"/>
  <c r="N67" i="1"/>
  <c r="N68" i="1"/>
  <c r="N19" i="1"/>
  <c r="N20" i="1"/>
  <c r="N21" i="1"/>
  <c r="N22" i="1"/>
  <c r="N23" i="1"/>
  <c r="N69" i="1"/>
  <c r="N70" i="1"/>
  <c r="N71" i="1"/>
  <c r="N72" i="1"/>
  <c r="N73" i="1"/>
  <c r="N24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25" i="1"/>
  <c r="N26" i="1"/>
  <c r="N627" i="1"/>
  <c r="N628" i="1"/>
  <c r="N629" i="1"/>
  <c r="N630" i="1"/>
  <c r="N27" i="1"/>
  <c r="N631" i="1"/>
  <c r="N632" i="1"/>
  <c r="N633" i="1"/>
  <c r="N634" i="1"/>
  <c r="N635" i="1"/>
  <c r="N636" i="1"/>
  <c r="N637" i="1"/>
  <c r="N638" i="1"/>
  <c r="N639" i="1"/>
  <c r="N28" i="1"/>
  <c r="N29" i="1"/>
  <c r="N30" i="1"/>
  <c r="N31" i="1"/>
  <c r="N640" i="1"/>
  <c r="N32" i="1"/>
  <c r="N641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642" i="1"/>
  <c r="N643" i="1"/>
  <c r="N644" i="1"/>
  <c r="N55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56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Q3" i="1"/>
  <c r="Q4" i="1"/>
  <c r="H16" i="12" l="1"/>
  <c r="H15" i="12"/>
  <c r="H14" i="12"/>
  <c r="H6" i="12" l="1"/>
  <c r="H13" i="12" l="1"/>
  <c r="H12" i="12"/>
  <c r="H11" i="12"/>
  <c r="H10" i="12"/>
  <c r="H9" i="12"/>
  <c r="H8" i="12"/>
  <c r="H7" i="12"/>
  <c r="H5" i="12"/>
  <c r="H17" i="12" l="1"/>
  <c r="I15" i="12" s="1"/>
  <c r="I11" i="12" l="1"/>
  <c r="I14" i="12"/>
  <c r="I16" i="12"/>
  <c r="I6" i="12"/>
  <c r="I5" i="12"/>
  <c r="I7" i="12"/>
  <c r="I13" i="12"/>
  <c r="I12" i="12"/>
  <c r="I17" i="12"/>
  <c r="I9" i="12"/>
  <c r="I8" i="12"/>
  <c r="I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tc={F25C80CB-4C86-4409-BDC4-40F10460C950}</author>
    <author>tc={85EA425E-4559-4469-BD18-C0A4DADEE939}</author>
  </authors>
  <commentList>
    <comment ref="N2" authorId="0" shapeId="0" xr:uid="{F25C80CB-4C86-4409-BDC4-40F10460C95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Valores negativos são documentos vencidos</t>
      </text>
    </comment>
    <comment ref="Q2" authorId="1" shapeId="0" xr:uid="{85EA425E-4559-4469-BD18-C0A4DADEE93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Coluna para macro verificar se o chamado foi tratado ou não</t>
      </text>
    </comment>
  </commentList>
</comments>
</file>

<file path=xl/sharedStrings.xml><?xml version="1.0" encoding="utf-8"?>
<sst xmlns="http://schemas.openxmlformats.org/spreadsheetml/2006/main" count="9984" uniqueCount="1450">
  <si>
    <t>ID</t>
  </si>
  <si>
    <t>Código de Alçada de Aprovação</t>
  </si>
  <si>
    <t>Razão Social Fornecedor</t>
  </si>
  <si>
    <t>Data de Emissão</t>
  </si>
  <si>
    <t>Data de Vencimento</t>
  </si>
  <si>
    <t>Número</t>
  </si>
  <si>
    <t>Tarefa</t>
  </si>
  <si>
    <t>Valor Total</t>
  </si>
  <si>
    <t>Unidade de Negócios</t>
  </si>
  <si>
    <t>Tipo</t>
  </si>
  <si>
    <t>Razão Social Tomador</t>
  </si>
  <si>
    <t>05/03/2024</t>
  </si>
  <si>
    <t xml:space="preserve">Dias para vencimento </t>
  </si>
  <si>
    <t>Solicitação</t>
  </si>
  <si>
    <t>Descrição</t>
  </si>
  <si>
    <t>Solicitante</t>
  </si>
  <si>
    <t>Localização</t>
  </si>
  <si>
    <t>Responsável</t>
  </si>
  <si>
    <t>Identificador</t>
  </si>
  <si>
    <t>Abertura</t>
  </si>
  <si>
    <t>Prazo</t>
  </si>
  <si>
    <t>Jornada do Fornecedor V360</t>
  </si>
  <si>
    <t>Integrador Fluig</t>
  </si>
  <si>
    <t>Pagamento Médico</t>
  </si>
  <si>
    <t>Pagamento Médico Hospital</t>
  </si>
  <si>
    <t>Respónsavel</t>
  </si>
  <si>
    <t>Data distribuição</t>
  </si>
  <si>
    <t>Verificação de chamados tratados</t>
  </si>
  <si>
    <t>Origem</t>
  </si>
  <si>
    <t>Código de Alçada de Aprovação /Descrição</t>
  </si>
  <si>
    <t>Rótulos de Linha</t>
  </si>
  <si>
    <t>Total Geral</t>
  </si>
  <si>
    <t>Adrieli</t>
  </si>
  <si>
    <t>Fluig</t>
  </si>
  <si>
    <t>Valor</t>
  </si>
  <si>
    <t>Total</t>
  </si>
  <si>
    <t>Carolina</t>
  </si>
  <si>
    <t>Pamela</t>
  </si>
  <si>
    <t>Fabiana</t>
  </si>
  <si>
    <t>Vinicius</t>
  </si>
  <si>
    <t>Camila</t>
  </si>
  <si>
    <t>Angla</t>
  </si>
  <si>
    <t>Fernanda</t>
  </si>
  <si>
    <t>Isabela Correia</t>
  </si>
  <si>
    <t>Analista</t>
  </si>
  <si>
    <t>Chamados</t>
  </si>
  <si>
    <t>%</t>
  </si>
  <si>
    <t>Dias do chamados em aberto</t>
  </si>
  <si>
    <t>Contagem de ID</t>
  </si>
  <si>
    <t>Rótulos de Coluna</t>
  </si>
  <si>
    <t>criar visão para quantas notas vencidas ao a vencer no dia da distribuição</t>
  </si>
  <si>
    <t xml:space="preserve">criar visão para repasses medicos se vendida ou não </t>
  </si>
  <si>
    <t>Tarefas</t>
  </si>
  <si>
    <t>Status</t>
  </si>
  <si>
    <t>Criar visão  consolidada em cima da base que é distribuida. Criar de para com chamados distribuidos no dia anterior ( verificar com val os campos )</t>
  </si>
  <si>
    <t>Feito</t>
  </si>
  <si>
    <t>Preencher Solicitação</t>
  </si>
  <si>
    <t>5 Junho, 2024 - Integrador Fluig</t>
  </si>
  <si>
    <t>15/04/2024</t>
  </si>
  <si>
    <t>Isabela Rodrigues</t>
  </si>
  <si>
    <t>Sabrina</t>
  </si>
  <si>
    <t>Kathleen</t>
  </si>
  <si>
    <t>CNC SERVICOS DE APOIO EMPRESARIAL LTDA - EPP</t>
  </si>
  <si>
    <t>04/12/2023</t>
  </si>
  <si>
    <t>08/12/2023</t>
  </si>
  <si>
    <t>Serviço</t>
  </si>
  <si>
    <t>COT - CENTRO ONCOLOGICO DO TRIANGULO S.A </t>
  </si>
  <si>
    <t>17/06/2024</t>
  </si>
  <si>
    <t>Verificar - Dados do Produto</t>
  </si>
  <si>
    <t>CENTRO PAULISTA DE ONCOLOGIA S.A. </t>
  </si>
  <si>
    <t>MAP COMERCIO E SERVICOS EIRELI</t>
  </si>
  <si>
    <t>15/06/2024</t>
  </si>
  <si>
    <t>CETTRO - CENTRO DE TRATAMENTO ONCOLOGICO LTDA</t>
  </si>
  <si>
    <t>ALFA PJ1 ENTREGAS RAPIDAS LTDA - ME</t>
  </si>
  <si>
    <t>11/06/2024</t>
  </si>
  <si>
    <t>CENTRO DE TRATAMENTO DE TUMORES BOTAFOGO S.A. </t>
  </si>
  <si>
    <t>Material</t>
  </si>
  <si>
    <t>CAM - CLINICA DE ASSISTENCIA A MULHER LTDA</t>
  </si>
  <si>
    <t>07/06/2024</t>
  </si>
  <si>
    <t>Analisar - Lançamento Fiscal</t>
  </si>
  <si>
    <t>HOSPITAL DE ONCOLOGIA DO MEIER</t>
  </si>
  <si>
    <t>02/04/2024</t>
  </si>
  <si>
    <t>17/04/2024</t>
  </si>
  <si>
    <t>Analisar - Erro - Integração de Pré Nota</t>
  </si>
  <si>
    <t>OC SERVICOS LTDA</t>
  </si>
  <si>
    <t>16/05/2024</t>
  </si>
  <si>
    <t>ONCOCLINICAS DO BRASIL SERVICOS MEDICOS SA</t>
  </si>
  <si>
    <t>18/04/2024</t>
  </si>
  <si>
    <t>KARFERRO COMERCIAL DE FERROS LTDA</t>
  </si>
  <si>
    <t>22/04/2024</t>
  </si>
  <si>
    <t>22/05/2024</t>
  </si>
  <si>
    <t>14/06/2024</t>
  </si>
  <si>
    <t>11/04/2024</t>
  </si>
  <si>
    <t xml:space="preserve">FORMA ARQUITETURA LEGAL EIRELI </t>
  </si>
  <si>
    <t>15/05/2024</t>
  </si>
  <si>
    <t>20/05/2024</t>
  </si>
  <si>
    <t>IDENGENE MEDICINA DIAGNOSTICA S.A.</t>
  </si>
  <si>
    <t>MANUCCI ADVOGADOS</t>
  </si>
  <si>
    <t>08/05/2024</t>
  </si>
  <si>
    <t>24/05/2024</t>
  </si>
  <si>
    <t>Aguardando Classificação da Nota</t>
  </si>
  <si>
    <t>ICB INSTITUTO DE CANCER DO BRASIL PARTICIPACOES LTDA</t>
  </si>
  <si>
    <t>28/05/2024</t>
  </si>
  <si>
    <t xml:space="preserve">SOUZA &amp; RIBEIRO COMERCIO DE EMBALAGENS LTDA	</t>
  </si>
  <si>
    <t>29/05/2024</t>
  </si>
  <si>
    <t>COMPLEXO HOSPITALAR UBERLANDIA S.A</t>
  </si>
  <si>
    <t>09/05/2024</t>
  </si>
  <si>
    <t>13/05/2024</t>
  </si>
  <si>
    <t>31/05/2024</t>
  </si>
  <si>
    <t>MAFER SOLUTION BRASIL LTDA</t>
  </si>
  <si>
    <t>02/05/2024</t>
  </si>
  <si>
    <t>01/06/2024</t>
  </si>
  <si>
    <t>CENTRO BRASILEIRO DE RADIOTERAPIA ONCOLOGIA E MASTOLOGIA - CEBROM LTDA</t>
  </si>
  <si>
    <t>COMERCIAL ELETRICA TRIANGULO LTDA</t>
  </si>
  <si>
    <t>27/05/2024</t>
  </si>
  <si>
    <t>24/06/2024</t>
  </si>
  <si>
    <t>06/06/2024</t>
  </si>
  <si>
    <t>21/06/2024</t>
  </si>
  <si>
    <t>FAMAP NUTRICAO PARENTERAL LTDA</t>
  </si>
  <si>
    <t>ONCOBIO SERVICOS DE SAUDE AS</t>
  </si>
  <si>
    <t>08/06/2024</t>
  </si>
  <si>
    <t>NUCLEO DE HEMATOLOGIA E TRANSPLANTE DE MEDULA OSSEA DE MINAS GERAIS LTDA.</t>
  </si>
  <si>
    <t>20/06/2024</t>
  </si>
  <si>
    <t>Analisar - Erro ao Buscar Pedido de Compra Referente a Medição</t>
  </si>
  <si>
    <t>10/06/2024</t>
  </si>
  <si>
    <t>AIO INSTITUTO DE CANCER DE MANAUS LTDA</t>
  </si>
  <si>
    <t>17/05/2024</t>
  </si>
  <si>
    <t>12/06/2024</t>
  </si>
  <si>
    <t>14/05/2024</t>
  </si>
  <si>
    <t>05/06/2024</t>
  </si>
  <si>
    <t>CTR CENTRO DE TRATAMENTO RADIOTERAPICO LTDA</t>
  </si>
  <si>
    <t>07/05/2024</t>
  </si>
  <si>
    <t>CLION CLINICA DE ONCOLOGIA LTDA</t>
  </si>
  <si>
    <t>06/05/2024</t>
  </si>
  <si>
    <t>03/05/2024</t>
  </si>
  <si>
    <t>03/06/2024</t>
  </si>
  <si>
    <t>ROMANO ARQUITETURA E PLANEJAMENTO LTDA</t>
  </si>
  <si>
    <t>Analisar Erro ao Consultar o Contas a Pagar</t>
  </si>
  <si>
    <t>INSTITUTO DE ONCOLOGIA KAPLAN</t>
  </si>
  <si>
    <t>04/06/2024</t>
  </si>
  <si>
    <t>09/06/2024</t>
  </si>
  <si>
    <t>13/06/2024</t>
  </si>
  <si>
    <t>DEZOITO COMUNICACAO LTDA.</t>
  </si>
  <si>
    <t>CTe</t>
  </si>
  <si>
    <t>SURE LOGISTICA EIRELI</t>
  </si>
  <si>
    <t>IRA INSTITUTO ROBERTO ALVARENGA LTDA</t>
  </si>
  <si>
    <t>ALIANCA INSTITUTO DE ONCOLOGIA S.A. </t>
  </si>
  <si>
    <t>05/07/2024</t>
  </si>
  <si>
    <t>CPO - CENTRO PARAIBANO DE ONCOLOGIA S.A</t>
  </si>
  <si>
    <t>CECON - CENTRO CAPIXABA DE ONCOLOGIA S.A</t>
  </si>
  <si>
    <t>EPIMED SOLUTIONS TECNOLOGIA DE INFORMACOES MEDICAS LTDA</t>
  </si>
  <si>
    <t>AIO- INSTITUTO DE CANCÊR</t>
  </si>
  <si>
    <t>03/07/2024</t>
  </si>
  <si>
    <t>ROI LATAM ASSESSORIA E CONSULTORIA LTDA</t>
  </si>
  <si>
    <t>ASSOCIACAO DE ENSINO SOCIAL PROFISSIONALIZANTE</t>
  </si>
  <si>
    <t>ONCOCLINICAS DO BRASIL SERVICOS MEDICOS S.A. - CTO IPANEMA</t>
  </si>
  <si>
    <t>INSTITUTO ONCOLOGICO DE RIBEIRAO PRETO S.A</t>
  </si>
  <si>
    <t>KEMAKMURAN EXTINTORES LTDA ME</t>
  </si>
  <si>
    <t>MICROIMAGEM LAB DE ANATOMIA PAT E CITOPATOLOGIA SC LTDA</t>
  </si>
  <si>
    <t>RADIOTERAPIA ONCOCLINICAS RECIFE LTDA</t>
  </si>
  <si>
    <t>NEOKOROS BRASIL LTDA</t>
  </si>
  <si>
    <t>ONCO CARE PRUDENTE</t>
  </si>
  <si>
    <t>PBRASIL FOODS SERVICE LTDA</t>
  </si>
  <si>
    <t>Cote - Centro Oncologico e Tratamentos Especiais LTDA</t>
  </si>
  <si>
    <t>ONCO &amp; HEMATO SERVICOS MEDICOS S.A.</t>
  </si>
  <si>
    <t>IRMAOS DUARTE CALIBRACOES LTDA - EPP</t>
  </si>
  <si>
    <t>ALIANCA INSTITUTO DE ONCOLOGIA S.A.</t>
  </si>
  <si>
    <t xml:space="preserve">FRONT TV COMUNICACAO S.A.	</t>
  </si>
  <si>
    <t>JG VIEIRA AR CONDICIONADO, REFRIGERACAO E MANUTENCAO LTDA</t>
  </si>
  <si>
    <t xml:space="preserve">LETICIA DE REZENDE LEITE 15608661796	</t>
  </si>
  <si>
    <t>NOS - NUCLEO DE ONCOLOGIA DE SERGIPE S.A</t>
  </si>
  <si>
    <t xml:space="preserve">LF RADIOTERAPIA LTDA	</t>
  </si>
  <si>
    <t>CTR - CENTRO DE TRATAMENTO RADIOTERAPICO DE ANAPOLIS LTDA</t>
  </si>
  <si>
    <t>25/06/2024</t>
  </si>
  <si>
    <t>PHOENIX SERVICOS MEDICOS LTDA</t>
  </si>
  <si>
    <t>CENTRO PAULISTA DE ONCOLOGIA S.A.</t>
  </si>
  <si>
    <t>LOCUS - ANATOMIA PATOLOGICA E CITOLOGIA LTDA</t>
  </si>
  <si>
    <t>FHL COURIER EXPRESS ENTREGA RAPIDA LTDA - ME</t>
  </si>
  <si>
    <t>02/06/2024</t>
  </si>
  <si>
    <t>HEMATOLOGICA - CLINICA DE HEMATOLOGIA S/A </t>
  </si>
  <si>
    <t>PONTUAL DOCES E SALGADOS LTDA</t>
  </si>
  <si>
    <t>COTE - CENTRO ONCOLOGICO E TRATAMENTOS ESPECIAIS LTDA</t>
  </si>
  <si>
    <t>B2R COMERCIALIZADORA DE ENERGIA LTDA</t>
  </si>
  <si>
    <t>PARK CAR ONE ESTACIONAMENTOS LTDA</t>
  </si>
  <si>
    <t>ONCOCLINICA - CENTRO DE TRATAMENTO ONCOLOGICO S.A.</t>
  </si>
  <si>
    <t>ONCOCLINICAS DO BRASIL SERVICOS MEDICOS S.A. - CTO BARRA</t>
  </si>
  <si>
    <t>IDENGENE MEDICINA DIAGNOSTICA S.A</t>
  </si>
  <si>
    <t>IRON MOUNTAIN DO BRASIL LTDA</t>
  </si>
  <si>
    <t>18/06/2024</t>
  </si>
  <si>
    <t>MINERACAO CAMPO BRANCO LTDA</t>
  </si>
  <si>
    <t>CENTRO DE QUIMIOTERAPIA ONCOCLINICAS S/A </t>
  </si>
  <si>
    <t>NEXXTO SERVICOS EM TECNOLOGIA DA INFORMACAO S.A</t>
  </si>
  <si>
    <t>CORP CENTRO DE ONCOLOGIA DE RIO PRETO S.A.</t>
  </si>
  <si>
    <t>ONCOCLINICAS CANOAS CLINICA DE ONCOLOGIA LTDA</t>
  </si>
  <si>
    <t>19/06/2024</t>
  </si>
  <si>
    <t>MULTIHEMO SERVICOS MEDICOS S/A </t>
  </si>
  <si>
    <t>RADIOCARE SERVICOS MEDICOS ESPECIALIZADOS LTDA </t>
  </si>
  <si>
    <t>AMBICAMP COLETA E DESTINACAO DE RESIDUOS LTDA</t>
  </si>
  <si>
    <t>INSTITUTO DE ACREDITACAO E GESTAO, CONSULTORIA E SISTEMAS DE INFORMACAO LTDA - ME</t>
  </si>
  <si>
    <t>LABORATORIO RICHET PESQUISAS DE PHYSIOPATHOLOGIA HUMANA S A</t>
  </si>
  <si>
    <t>MP METALURGICA INDUSTRIA E COMERCIO LTDA</t>
  </si>
  <si>
    <t>Analisar - Lançamento Fiscal - Prazo Vencido</t>
  </si>
  <si>
    <t>IRON MOUNTAIN DO BRASIL</t>
  </si>
  <si>
    <t>NAVARRA RJ SERVICOS ONCOLOGICOS S.A.</t>
  </si>
  <si>
    <t>01/07/2024</t>
  </si>
  <si>
    <t>FERNANDO MONTEIRO</t>
  </si>
  <si>
    <t>07/07/2024</t>
  </si>
  <si>
    <t>INSTITUTO HEMATOLOGIA E ONCOLOGIA CURITIBA - CLINICA MEDICA S.A</t>
  </si>
  <si>
    <t>INTERPROCESS TECNOLOGIA DA INFORMACAO LTDA - EPP</t>
  </si>
  <si>
    <t>IPEX LOG SERVICOS RAPIDOS LTDA</t>
  </si>
  <si>
    <t>GSYNC ENGENHARIA LTDA</t>
  </si>
  <si>
    <t>27/06/2024</t>
  </si>
  <si>
    <t>INSTITUTO QUALISA DE GESTAO LTDA</t>
  </si>
  <si>
    <t>28/06/2024</t>
  </si>
  <si>
    <t>PREV MAIS GERADORES LTDA</t>
  </si>
  <si>
    <t>VARIAN MEDICAL SYSTEMS BRASIL LTDA.</t>
  </si>
  <si>
    <t>30/06/2024</t>
  </si>
  <si>
    <t>IRV - MATRIZ</t>
  </si>
  <si>
    <t>ONISAUDE LTDA</t>
  </si>
  <si>
    <t>GALAXIA IMUNIZACAO E CONTROLE DE PRAGAS URBANAS LTDA</t>
  </si>
  <si>
    <t>BRASANITAS HOSPITALAR - HIGIENIZACAO E CONSERVACAO DE AMBIENTES DE SAUDE LTDA</t>
  </si>
  <si>
    <t xml:space="preserve">FUNDACAO DOM CABRAL	</t>
  </si>
  <si>
    <t>ECM SOLUCOES EMPRESARIAIS LTDA - EPP</t>
  </si>
  <si>
    <t>EQUIPACARE SERVICOS ESPECIALIZADOS DE APOIO TECNICO LTDA</t>
  </si>
  <si>
    <t>10/07/2024</t>
  </si>
  <si>
    <t>ZANDER ETIQUETAS LTDA - EPP</t>
  </si>
  <si>
    <t xml:space="preserve">ELEVADORES SITO LTDA	</t>
  </si>
  <si>
    <t>CALIL COMERCIO E SERVICOS DE EQUIP CONTRA INCENDIO LTDA</t>
  </si>
  <si>
    <t>NORTE AMBIENTAL TRAT. DE RESIDUOS LTDA</t>
  </si>
  <si>
    <t>PROLAB - LABORATORIO DE BIOTECNOLOGIA S/S LTDA - EPP</t>
  </si>
  <si>
    <t>02/07/2024</t>
  </si>
  <si>
    <t>08/07/2024</t>
  </si>
  <si>
    <t>ATACADO SAO PAULO LTDA</t>
  </si>
  <si>
    <t>DIVERSA DISTRIBUICAO, COMERCIALIZACAO E LOCACAO LTDA</t>
  </si>
  <si>
    <t>CENTRO PERNAMBUCANO DE ONCOLOGIA S.A.</t>
  </si>
  <si>
    <t xml:space="preserve">BRS SP SUPRIMENTOS CORPORATIVOS S/A	</t>
  </si>
  <si>
    <t>22/07/2024</t>
  </si>
  <si>
    <t>04/07/2024</t>
  </si>
  <si>
    <t xml:space="preserve">MAGICPRINT GRAFICA LTDA	</t>
  </si>
  <si>
    <t>OXIMIL OXIGENIO MINAS GERAIS LTDA</t>
  </si>
  <si>
    <t>PISOLAR COMERCIO DE TINTAS LTDA</t>
  </si>
  <si>
    <t>26/07/2024</t>
  </si>
  <si>
    <t>L M DE SOUZA INSTRUMENTOS HOSPITALARES</t>
  </si>
  <si>
    <t>FORCEONE NEGOCIOS &amp; CONSULTORIA LTDA</t>
  </si>
  <si>
    <t>06/07/2024</t>
  </si>
  <si>
    <t>SUPRICORP SUPRIMENTOS LTDA</t>
  </si>
  <si>
    <t>MELHORAMENTOS CMPC LTDA</t>
  </si>
  <si>
    <t>11/07/2024</t>
  </si>
  <si>
    <t>KOPELL DISTRIBUICAO E LOGISTICA LTDA</t>
  </si>
  <si>
    <t>20/07/2024</t>
  </si>
  <si>
    <t>21/07/2024</t>
  </si>
  <si>
    <t xml:space="preserve">BRUMAS COMERCIO E CONFECCOES EIRELI	</t>
  </si>
  <si>
    <t>PAUTA 6 COMUNICACAO LTDA</t>
  </si>
  <si>
    <t>BRAINLAB LTDA</t>
  </si>
  <si>
    <t>CAFEINA COMUNICACAO E MARKETING LTDA</t>
  </si>
  <si>
    <t>15/07/2024</t>
  </si>
  <si>
    <t>BIOXXI SERVICOS DE ESTERILIZACAO LTDA</t>
  </si>
  <si>
    <t xml:space="preserve">LABORPRINT GRAFICA E EDITORA LTDA                                                                   </t>
  </si>
  <si>
    <t>MBS INFORMATICA LTDA. - ME</t>
  </si>
  <si>
    <t>ONCO CLINICA RECIFE LTDA</t>
  </si>
  <si>
    <t>RADIOTERAPIA ONCOCLINICAS SAO PAULO LTDA </t>
  </si>
  <si>
    <t>ONCOCLINICAS SALVADOR S.A </t>
  </si>
  <si>
    <t>FUNDACAO ANTONIO PRUDENTE</t>
  </si>
  <si>
    <t>18/07/2024</t>
  </si>
  <si>
    <t>Analise do Fiscal</t>
  </si>
  <si>
    <t>12/03/2024</t>
  </si>
  <si>
    <t>10303 - CLS INFORMATICA LTDA</t>
  </si>
  <si>
    <t>01011 - FHL COURIER EXPRESS ENTREGA RAPIDA LTDA - ME</t>
  </si>
  <si>
    <t>01001 - GARAGE IN ESTACIONAMENTOS LTDA</t>
  </si>
  <si>
    <t>02901 - FAMAP NUTRICAO PARENTERAL LTDA</t>
  </si>
  <si>
    <t>00101 - ROBERT HALF TRABALHO TEMPORARIO LTDA.</t>
  </si>
  <si>
    <t>07101 - L M DE SOUZA INSTRUMENTOS HOSPITALARES</t>
  </si>
  <si>
    <t>08101 - LF RADIOTERAPIA LTDA</t>
  </si>
  <si>
    <t>04301 - CALL PARK ESTACIONAMENTO LTDA</t>
  </si>
  <si>
    <t>09001 - MACACOS DESENVOLVIMENTO E DESIGN LTDA</t>
  </si>
  <si>
    <t>04801 - IRON MOUNTAIN DO BRASIL LTDA</t>
  </si>
  <si>
    <t>00104 - VIZIOMED SUPORTE EM TECNOLOGIA E SOLUCOES INTELIGENTES LTDA</t>
  </si>
  <si>
    <t>04601 - MAGICPRINT GRAFICA LTDA</t>
  </si>
  <si>
    <t>02702 - LAB IMPORT - IMPORTACAO E EXPORTACAO DE EQUIPAMENTOS LTDA</t>
  </si>
  <si>
    <t>04901 - CASCOL COMBUSTIVEIS PARA VEICULOS LTDA</t>
  </si>
  <si>
    <t>04801 - BRS SP SUPRIMENTOS CORPORATIVOS S/A</t>
  </si>
  <si>
    <t>02701 - OXIMIL OXIGENIO MINAS GERAIS LTDA</t>
  </si>
  <si>
    <t>09701 - ATACADO SAO PAULO LTDA</t>
  </si>
  <si>
    <t>12201 - IBF - INDUSTRIA BRASILEIRA DE FARMOQUIMICOS S.A.</t>
  </si>
  <si>
    <t>10001 - G2F COMERCIO DE PRODUTOS DE HIGIENE E LIMPEZA LTDA - ME</t>
  </si>
  <si>
    <t>07602 - MN PROJETOS E CONSULTORIAS LTDA</t>
  </si>
  <si>
    <t>02101 - CLEDIMILSON PEREIRA DA SILVA 56914253404</t>
  </si>
  <si>
    <t>10301 - IURY DA SILVA MAGESKY 11714035778</t>
  </si>
  <si>
    <t>07101 - ONI SAUDE LTDA</t>
  </si>
  <si>
    <t>10001 - VITORIA IMAGEM E DIAGNOSTICO LTDA</t>
  </si>
  <si>
    <t>02101 - PEDRO RODRIGUES DOMINGUES DA SILVA 11310516456</t>
  </si>
  <si>
    <t>05201 - SIDNEI ALVES ALCANTARA OLIVEIRA PLANEJAMENTO EM GESTAO</t>
  </si>
  <si>
    <t>07201 - JULIANA ALMEIDA DE MOURA</t>
  </si>
  <si>
    <t>07401 - ASCITECH SOLUCOES EM TECNOLOGIA LTDA</t>
  </si>
  <si>
    <t>00104 - IGOR RUFINO CONSULTORIA LTDA</t>
  </si>
  <si>
    <t>01001 - ASPECT MIDIA - INDUSTRIA ELETRO - ELETRONICA, COMERCIO E SERVICOS LTDA.</t>
  </si>
  <si>
    <t>00104 - INTEGRATTO TECNOLOGIA LTDA</t>
  </si>
  <si>
    <t>00104 - INEXPRON TECNOLOGIA E REPRESENTACAO LTDA</t>
  </si>
  <si>
    <t>07201 - IDEIAS COMUNICACAO VISUAL LTDA</t>
  </si>
  <si>
    <t>01009 - ARTIMAGE INDUSTRIA E COMERCIO LTDA</t>
  </si>
  <si>
    <t>07401 - JULIANA JUSTINO DE SOUZA 07614477685</t>
  </si>
  <si>
    <t>07401 - BERTOLDI E BUZATTO LTDA</t>
  </si>
  <si>
    <t>08401 - SIEMENS HEALTHCARE DIAGNOSTICOS S.A.</t>
  </si>
  <si>
    <t>07501 - ASSOCIACAO DE ENSINO SOCIAL PROFISSIONALIZANTE</t>
  </si>
  <si>
    <t>06501 - ASSOCIACAO DE ENSINO SOCIAL PROFISSIONALIZANTE</t>
  </si>
  <si>
    <t>00101 - ASSOCIACAO DE ENSINO SOCIAL PROFISSIONALIZANTE</t>
  </si>
  <si>
    <t>00101 - PAGE INTERIM DO BRASIL- RECRUTAMENTO ESPECIALIZADO LTDA</t>
  </si>
  <si>
    <t>10001 - SERRAMED PRODUTOS HOSPITALARES EIRELI</t>
  </si>
  <si>
    <t>10001 - REALMAR DISTRIBUIDORA LTDA.</t>
  </si>
  <si>
    <t>Pagamento Antecipado</t>
  </si>
  <si>
    <t>Avaliar e Gerar Título</t>
  </si>
  <si>
    <t>Gabriel Paes Maiello</t>
  </si>
  <si>
    <t>2023/06/20 - N - 00101 - CSO - BH</t>
  </si>
  <si>
    <t>23/06/2023</t>
  </si>
  <si>
    <t>Jessik Frizzera Barbosa</t>
  </si>
  <si>
    <t>2023/09/15 - N - Medquimheo - Matriz</t>
  </si>
  <si>
    <t>01/09/2023</t>
  </si>
  <si>
    <t>Deodato Goncalves Ferreira</t>
  </si>
  <si>
    <t>2024/02/09 - N - CTTB</t>
  </si>
  <si>
    <t>07/02/2024</t>
  </si>
  <si>
    <t>Fernanda Paixao De Almeida</t>
  </si>
  <si>
    <t>EMERGENCIAL - 2024/02/09-07301 - Hospital Doutor Marcos Moraes</t>
  </si>
  <si>
    <t>14/02/2024</t>
  </si>
  <si>
    <t>Lissandra de Sousa Aleixo</t>
  </si>
  <si>
    <t>2024/02/23 - N - 00104 - Holding - SP</t>
  </si>
  <si>
    <t>16/02/2024</t>
  </si>
  <si>
    <t>Silvano Gomes da Silva</t>
  </si>
  <si>
    <t>2024/02/22 - N - CTTB</t>
  </si>
  <si>
    <t>21/02/2024</t>
  </si>
  <si>
    <t>14/03/2024</t>
  </si>
  <si>
    <t>Larissa Pinto de Carvalho</t>
  </si>
  <si>
    <t>Jonathas Faria De Oliveira</t>
  </si>
  <si>
    <t>2024/04/19 - N - 08601 - ICB - Pátio Capital</t>
  </si>
  <si>
    <t>24/04/2024</t>
  </si>
  <si>
    <t>Samantha de Souza Santos</t>
  </si>
  <si>
    <t>2024/04/26 - N - UMC - UBERLANDIA MEDICAL CENTER</t>
  </si>
  <si>
    <t>Thays Antunes de Souza Goncalves</t>
  </si>
  <si>
    <t>30/04/2024</t>
  </si>
  <si>
    <t>2024/05/03 - N - Aliança - Sandu</t>
  </si>
  <si>
    <t>2024/05/03 - N - COT - Araguari</t>
  </si>
  <si>
    <t>2024/05/03 - N - COT - Matriz</t>
  </si>
  <si>
    <t>2024/05/03 - N - COTE BH - CENTRO ONCOLOGICO E TRATAMENTOS ESPECIAIS LTDA</t>
  </si>
  <si>
    <t>2024/05/03 - N - CQO - The Place I</t>
  </si>
  <si>
    <t>2024/05/03 - N - RT ANÁPOLIS</t>
  </si>
  <si>
    <t>2024/05/03 - N - CTTB</t>
  </si>
  <si>
    <t>2024/05/03 - N - CPO SP - Faria Lima (10º andar)</t>
  </si>
  <si>
    <t>2024/05/03 - N - IHOC</t>
  </si>
  <si>
    <t>2024/05/03 - N - Multihemo - Matriz</t>
  </si>
  <si>
    <t>2024/05/03 - N - Leste Fluminense - Matriz</t>
  </si>
  <si>
    <t>2024/05/03 - N - ONCOCLÍNICAS - Neon - Filial Serra</t>
  </si>
  <si>
    <t>2024/05/03 - N - NOB - Lauro de Freitas</t>
  </si>
  <si>
    <t>2024/05/03 - N - NOS</t>
  </si>
  <si>
    <t>2024/05/03 - N - Oncovida</t>
  </si>
  <si>
    <t>2024/05/03 - N - PRO ONCO LONDRINA</t>
  </si>
  <si>
    <t>2024/05/03 - N - UGF - Florianópolis</t>
  </si>
  <si>
    <t>2024/05/03 - N - NOB - Ondina</t>
  </si>
  <si>
    <t>Solicitacao De GDE</t>
  </si>
  <si>
    <t>Verificação Fiscal</t>
  </si>
  <si>
    <t>2024/05/07 - N - Núcleo de Hematologia e Oncologia II</t>
  </si>
  <si>
    <t>2024/05/10 - N - UMC - UBERLANDIA MEDICAL CENTER</t>
  </si>
  <si>
    <t>Natalia Cristina Eliziario Rodrigues</t>
  </si>
  <si>
    <t>Liziane Duarte Rodrigues</t>
  </si>
  <si>
    <t>2024/05/20 - N - CPO SP - Faria Lima (10º andar)</t>
  </si>
  <si>
    <t>Niliana Batista Sturzeneker Lacerda</t>
  </si>
  <si>
    <t>EMERGENCIAL - 2024/05/22-Oncoclinicas (Ceon)</t>
  </si>
  <si>
    <t>Milena Dos Santos Costa Vilela</t>
  </si>
  <si>
    <t>Classificação Fiscal</t>
  </si>
  <si>
    <t>2024/06/12 - Hospital Doutor Marcos Moraes</t>
  </si>
  <si>
    <t>Janayna Maria Da Silva Carvalho</t>
  </si>
  <si>
    <t>2024/06/17 - UMC - UBERLANDIA MEDICAL CENTER</t>
  </si>
  <si>
    <t>Stefany Cruvinel Martins</t>
  </si>
  <si>
    <t>Débora Cristina Moraes Da Silva</t>
  </si>
  <si>
    <t>Ismael da Silva Miranda</t>
  </si>
  <si>
    <t>2024/06/13 - CPO SP - Faria Lima (10º andar)</t>
  </si>
  <si>
    <t>Leonardo Martins Penna de Oliveira Santos</t>
  </si>
  <si>
    <t>Kelly Andrade dos Santos</t>
  </si>
  <si>
    <t>2024/07/05 - UMC - UBERLANDIA MEDICAL CENTER</t>
  </si>
  <si>
    <t>Aldeane Cristina Merces De Lima</t>
  </si>
  <si>
    <t>Maria Jose Vieira Da Silva</t>
  </si>
  <si>
    <t>2024/06/14 - 09002 - Cettro - Taguantiga</t>
  </si>
  <si>
    <t>Fabiana da Silva Oliveira</t>
  </si>
  <si>
    <t>Barbara Sebastiana De Sousa</t>
  </si>
  <si>
    <t>Bruno Leandro Moura</t>
  </si>
  <si>
    <t>Juliana Lopes Brito Gomes</t>
  </si>
  <si>
    <t>Vincular produto ao fornecedor</t>
  </si>
  <si>
    <t>Compras Diversos</t>
  </si>
  <si>
    <t>Gutemberg Pereira De Lima</t>
  </si>
  <si>
    <t>Analisar vinculação do produto ao fornecedor</t>
  </si>
  <si>
    <t>N - 07201 - BNO - Centro de Tratamento Radioterápico - Serviço</t>
  </si>
  <si>
    <t>04801 - JURA COMERCIO, IMPORTACAO E SERVICOS LTDA</t>
  </si>
  <si>
    <t>N - 07401 - UMC - UBERLANDIA MEDICAL CENTER - Material</t>
  </si>
  <si>
    <t>N - 07103 - Cebrom Anápolis - Material</t>
  </si>
  <si>
    <t>N - 07201 - BNO - Centro de Tratamento Radioterápico - Material</t>
  </si>
  <si>
    <t>N - 07101 - CBR - Centro Brasileiro de Radioterapia Oncologia e Mastologia - Material</t>
  </si>
  <si>
    <t>N - 08101 - RT ANÁPOLIS - Material</t>
  </si>
  <si>
    <t>Emely Morgana Castro Sampaio</t>
  </si>
  <si>
    <t>N - 07101 - CBR - Centro Brasileiro de Radioterapia Oncologia e Mastologia - Serviço</t>
  </si>
  <si>
    <t>Rosirlei Ribeiro de Andrade</t>
  </si>
  <si>
    <t>Aretha Machado Aguiar Floriano Peixoto</t>
  </si>
  <si>
    <t>E - 06601 - Hospital Vila da Serra - Serviço</t>
  </si>
  <si>
    <t>09101 - RAFAEL TRINDADE GIL 01559318066</t>
  </si>
  <si>
    <t>Ana Carolina Belo da Silva Silveira</t>
  </si>
  <si>
    <t>N - 02201 - CECON - Material</t>
  </si>
  <si>
    <t>07401 - NORTEL SUPRIMENTOS INDUSTRIAIS LTDA</t>
  </si>
  <si>
    <t>07401 - RDI BENDER INDUSTRIA ELETRICA LTDA</t>
  </si>
  <si>
    <t>00107 - ELEVADORES ALPHA LTDA - EPP</t>
  </si>
  <si>
    <t>07401 - HARUS INDUSTRIA E COMERCIO DE COSMETICOS LTDA</t>
  </si>
  <si>
    <t>10201 - VISTA COMERCIO E INSTALACOES DE EQUIPAMENTOS DE SEGURANCA LTDA</t>
  </si>
  <si>
    <t>07401 - MIDIAPEL PAPELARIA E INFORMATICA LTDA</t>
  </si>
  <si>
    <t>Cadastro de Fornecedor</t>
  </si>
  <si>
    <t>Preencher dados fiscais, listar produtos/serviços, conferir dados bancários</t>
  </si>
  <si>
    <t>Edna Barbalho Martins</t>
  </si>
  <si>
    <t>07401 - VANESSA AZEVEDO DA SILVA 10924312688</t>
  </si>
  <si>
    <t>07401 - DUAL CLIMA INDUSTRIA E COMERCIO DE COMPONENTES PARA AR CONDICIONADO LTDA</t>
  </si>
  <si>
    <t>Jaqueline Ferreira Da Silva</t>
  </si>
  <si>
    <t>10 Junho, 2024 - Jaqueline Ferreira Da Silva</t>
  </si>
  <si>
    <t>Analisar - Erro - Criação de Medição</t>
  </si>
  <si>
    <t>IMUNOMED CLINICA DE INFUSAO E ESPECIALIDADES S/A</t>
  </si>
  <si>
    <t xml:space="preserve">FELZEMBURGH GEANIZELLE ARQUITETURA ENGENHARIA E URBANISMO LTDA	</t>
  </si>
  <si>
    <t>12/04/2024</t>
  </si>
  <si>
    <t>54.412.426 FELIPE CARVALHO MACHADO</t>
  </si>
  <si>
    <t>ICTS GLOBAL DO BRASIL LTDA.</t>
  </si>
  <si>
    <t>HIMALAIA COMERCIO DE PRODUTOS ALIMENTARES LTDA</t>
  </si>
  <si>
    <t xml:space="preserve">EMPRESA FOLHA DA MANHA S.A.	</t>
  </si>
  <si>
    <t xml:space="preserve">UP CENTER ELEVADORES SERVICOS DE INSTALACAO E MANUTENCAO LTDA	</t>
  </si>
  <si>
    <t>CENTRO DE TRATAMENTO EM RADIOTERAPIA LTDA </t>
  </si>
  <si>
    <t>GRAN COFFEE COMERCIO, LOCACAO E SERVICOS S.A.</t>
  </si>
  <si>
    <t>RN COMUNICACAO E EVENTOS LTDA ME</t>
  </si>
  <si>
    <t xml:space="preserve">ROSE MARY MELO DE OLIVEIRA BARRETO	</t>
  </si>
  <si>
    <t>D. R. DOS SANTOS PADARIA LTDA</t>
  </si>
  <si>
    <t>CTI COR - CENTRO DE TRATAMENTO INTENSIVO LTDA</t>
  </si>
  <si>
    <t xml:space="preserve">JANILSON LOURENCO GOMES LTDA	</t>
  </si>
  <si>
    <t>WBW INFORMATICA EIRELI</t>
  </si>
  <si>
    <t>BTN INFORMACAO DO TRANSITO E SERVICOS AEREOS ESPECIALIZADOS LTDA.</t>
  </si>
  <si>
    <t>MGD RAMOS DISTRIBUIDORA LTDA</t>
  </si>
  <si>
    <t xml:space="preserve">3R SERVICOS DE MANUTENCAO E COMERCIO LTDA	</t>
  </si>
  <si>
    <t xml:space="preserve">OPEN NEW TELECOMUNICACOES LTDA	</t>
  </si>
  <si>
    <t>AGROMETAL COMERCIAL DE FERRAGENS LTDA</t>
  </si>
  <si>
    <t>G2F COMERCIO DE PRODUTOS DE HIGIENE E LIMPEZA LTDA</t>
  </si>
  <si>
    <t>FRACALOSSI MATERIAL ELETRICO LTDA</t>
  </si>
  <si>
    <t>31/07/2024</t>
  </si>
  <si>
    <t>Cria Producoes Artisticas Ltda</t>
  </si>
  <si>
    <t>QUALITY24 TECNOLOGIA S.A.</t>
  </si>
  <si>
    <t>ONCO VIDA INSTITUTO ESPECIALIZADO DE ONCOLOGIA S.A</t>
  </si>
  <si>
    <t>NEON - MATRIZ</t>
  </si>
  <si>
    <t>Oncoclinicas</t>
  </si>
  <si>
    <t>Adriana dos Santos Sant anna</t>
  </si>
  <si>
    <t>Analisar/Atender Solicitação</t>
  </si>
  <si>
    <t xml:space="preserve">N - ONCOCLINICAS (CTO IPANEMA) - Envio de nota fiscal de devolução Tasy e Diversos </t>
  </si>
  <si>
    <t>Bonificacao</t>
  </si>
  <si>
    <t>Ezequiel Santos Da Silva</t>
  </si>
  <si>
    <t>Lucas Amorim de Sousa Furtado</t>
  </si>
  <si>
    <t>Renato Pereira de Oliveira</t>
  </si>
  <si>
    <t>N - Hematologica - Matriz - Verificação de emissão de NFA</t>
  </si>
  <si>
    <t>Doação</t>
  </si>
  <si>
    <t>Nilmar Dos Santos Cortes</t>
  </si>
  <si>
    <t>Emitir NFA/Declaração</t>
  </si>
  <si>
    <t>10 Junho, 2024 - Nilmar Dos Santos Cortes</t>
  </si>
  <si>
    <t>CLAIVER ROMEU MACHADO DA SILVA</t>
  </si>
  <si>
    <t>Transferencia entre filiais</t>
  </si>
  <si>
    <t>Anexa Nota Fiscal Avulsa</t>
  </si>
  <si>
    <t>Joao Carlos Santos Batista</t>
  </si>
  <si>
    <t xml:space="preserve">11 Junho, 2024 - </t>
  </si>
  <si>
    <t>Julia Cristina Santos</t>
  </si>
  <si>
    <t>prazo</t>
  </si>
  <si>
    <t>definido</t>
  </si>
  <si>
    <t>COLEGIO BRASILEIRO DE RADIOLOGIA E DIAGNOSTICO POR IMAGEM</t>
  </si>
  <si>
    <t>UMC IMAGEM LTDA</t>
  </si>
  <si>
    <t>ESTERILAV ESTERILIZACAO DE MAT HOSPITALARES LTDA</t>
  </si>
  <si>
    <t>ANGARA ONCOLOGIA E PARTICIPACOES S.A.</t>
  </si>
  <si>
    <t>WHITE MARTINS GASES INDUSTRIAIS LTDA</t>
  </si>
  <si>
    <t>ATIVAS DATA CENTER S.A.</t>
  </si>
  <si>
    <t>PC HELP INFORMATICA LTDA</t>
  </si>
  <si>
    <t>AVN ATITUDE VALORES E NEGOCIOS EM TI LTDA</t>
  </si>
  <si>
    <t>INSTALE TELEINFORMATICA LTDA - EPP</t>
  </si>
  <si>
    <t>NUCLEO DE ONCOLOGIA DA BAHIA S.A </t>
  </si>
  <si>
    <t>Soma Midia Exterior e Construcao Ltda</t>
  </si>
  <si>
    <t>19/04/2024</t>
  </si>
  <si>
    <t>00104 - AF FIGUEIREDO - PALESTRAS, CURSOS E CONGRESSOS LTDA.</t>
  </si>
  <si>
    <t>04601 - CASA DO CONSTRUTOR MATERIAIS DE CONSTRUCAO LTDA</t>
  </si>
  <si>
    <t>00104 - LELO PARK ESTACIONAMENTOS EIRELI</t>
  </si>
  <si>
    <t>01501 - CIL COMERCIO DE INFORMATICA LTDA</t>
  </si>
  <si>
    <t>09601 - SUZANO S.A.</t>
  </si>
  <si>
    <t>00104 - LEANDRO GOMES DA SILVA 04551045659</t>
  </si>
  <si>
    <t>05401 - QCM INSTALACOES TECNICAS LTDA</t>
  </si>
  <si>
    <t>00104 - EHS SERVICOS CONSULTORIA EMPRESARIAL LTDA</t>
  </si>
  <si>
    <t>00902 - BRASANITAS HOSPITALAR - HIGIENIZACAO E CONSERVACAO DE AMBIENTES DE SAUDE LTDA</t>
  </si>
  <si>
    <t>04801 - BOLTINOX COMERCIO IMPORTACAO E EXPORTACAO LTDA</t>
  </si>
  <si>
    <t>04801 - LM 1 SERVICOS LTDA</t>
  </si>
  <si>
    <t>09103 - VIEZZER &amp; CIA LTDA</t>
  </si>
  <si>
    <t>09101 - SPICEFIT ALIMENTOS FUNCIONAIS LTDA</t>
  </si>
  <si>
    <t>09101 - ELEMENTS SHOPPING ONLINE LTDA</t>
  </si>
  <si>
    <t>07401 - CENTRO ELETRONICO DE UBERLANDIA LTDA</t>
  </si>
  <si>
    <t>07401 - BH FARMA COMERCIO LTDA</t>
  </si>
  <si>
    <t>10001 - LIDERA PRO COMERCIO DE PRODUTOS E SERVICOS LTDA</t>
  </si>
  <si>
    <t>07401 - MULTIPLA COMERCIO DE DIVISORIAS E FORROS LTDA</t>
  </si>
  <si>
    <t>07401 - FRANCIELE HEMKEMAIER DA SILVA SEBOLD</t>
  </si>
  <si>
    <t>07401 - DANYEL LUCAS NUNES QUINARELLI 09442981684</t>
  </si>
  <si>
    <t>Amanda Kelly Reginaldo</t>
  </si>
  <si>
    <t>EMERGENCIAL - 2024/02/09-UMC - UBERLANDIA MEDICAL CENTER</t>
  </si>
  <si>
    <t>08/02/2024</t>
  </si>
  <si>
    <t>EMERGENCIAL - 2024/03/11-UMC IMAGEM</t>
  </si>
  <si>
    <t>06/03/2024</t>
  </si>
  <si>
    <t>EMERGENCIAL - 2024/03/11-IRA - INSTITUTO ROBERTO ALVARENGA LTDA - SAO CRISTOVAO</t>
  </si>
  <si>
    <t>EMERGENCIAL - 2024/03/15-IHOC</t>
  </si>
  <si>
    <t>EMERGENCIAL - 2024/03/15-COT - Matriz</t>
  </si>
  <si>
    <t>EMERGENCIAL - 2024/03/22-COT - RT</t>
  </si>
  <si>
    <t>EMERGENCIAL - 2024/03/22-COT - Triângulo</t>
  </si>
  <si>
    <t>EMERGENCIAL - 2024/03/22-UMC - UBERLANDIA MEDICAL CENTER</t>
  </si>
  <si>
    <t>EMERGENCIAL - 2024/03/22-ICT Matriz</t>
  </si>
  <si>
    <t>EMERGENCIAL - 2024/03/22-UMC IMAGEM</t>
  </si>
  <si>
    <t>Anna Paula Oliveira Silva</t>
  </si>
  <si>
    <t>2024/06/30 - 07301 - Hospital Doutor Marcos Moraes</t>
  </si>
  <si>
    <t>Cynthia Braga Ribeiro Morais</t>
  </si>
  <si>
    <t>EMERGENCIAL - 2024/06/12-Oncoclinicas (Ceon)</t>
  </si>
  <si>
    <t>2024/06/23 - 07301 - Hospital Doutor Marcos Moraes</t>
  </si>
  <si>
    <t>2024/06/28 - 07301 - Hospital Doutor Marcos Moraes</t>
  </si>
  <si>
    <t>Alessandra da Silva Dias</t>
  </si>
  <si>
    <t>2024/06/13 - 07301 - Hospital Doutor Marcos Moraes</t>
  </si>
  <si>
    <t>Giseli Vieira de Sousa Santos</t>
  </si>
  <si>
    <t>2024/06/17 - Oncovida</t>
  </si>
  <si>
    <t>Suzana Silva Carvalho</t>
  </si>
  <si>
    <t>2024/06/14 - Onco Care Prudente</t>
  </si>
  <si>
    <t>Thais Fernandes Goncalves</t>
  </si>
  <si>
    <t>2024/06/18 - Oncovida</t>
  </si>
  <si>
    <t>2024/06/17 - IRA - INSTITUTO ROBERTO ALVARENGA LTDA - MATRIZ</t>
  </si>
  <si>
    <t>2024/07/06 - 07301 - Hospital Doutor Marcos Moraes</t>
  </si>
  <si>
    <t>Patricia Ramos Reboucas Cruz</t>
  </si>
  <si>
    <t>2024/06/24 - 07801 - JPC</t>
  </si>
  <si>
    <t>2024/06/20 - CBR - Centro Brasileiro de Radioterapia Oncologia e Mastologia</t>
  </si>
  <si>
    <t>Suellen Duarte da Silva</t>
  </si>
  <si>
    <t>Compras ti serviços</t>
  </si>
  <si>
    <t>Andre Vieira Candeias de Castro</t>
  </si>
  <si>
    <t>N - 00104 - Holding - SP - Serviço</t>
  </si>
  <si>
    <t>N - 00104 - Holding - SP - Material</t>
  </si>
  <si>
    <t>Viviane Rodrigues Pinheiro</t>
  </si>
  <si>
    <t>Higor Santana da Silva</t>
  </si>
  <si>
    <t xml:space="preserve">N - CNU_DF – ANGARA - Envio de nota fiscal de devolução Tasy e Diversos </t>
  </si>
  <si>
    <t>11 Junho, 2024 - Ezequiel Santos Da Silva</t>
  </si>
  <si>
    <t>Analisar - Nota Existente no Protheus</t>
  </si>
  <si>
    <t xml:space="preserve">LOJA ELETRICA LIMITADA	</t>
  </si>
  <si>
    <t>26/06/2024</t>
  </si>
  <si>
    <t>GERDAU ACOS LONGOS SA</t>
  </si>
  <si>
    <t>25/05/2024</t>
  </si>
  <si>
    <t>BLUEBERRY SERVICOS DE PROMOCOES E EVENTOS LTDA</t>
  </si>
  <si>
    <t>REFRIGELO CLIMATIZACAO DE AMBIENTES LTDA</t>
  </si>
  <si>
    <t>ARQRIO REVESTIMENTOS E EQUIPAMENTOS LTDA</t>
  </si>
  <si>
    <t>LM INSTALACOES E CONSTRUCOES</t>
  </si>
  <si>
    <t>GRAFICA PAMPULHA LTDA</t>
  </si>
  <si>
    <t>DIGITAL TRIX COMUNICACAO LTDA.</t>
  </si>
  <si>
    <t>3778 TECNOLOGIA LTDA.</t>
  </si>
  <si>
    <t xml:space="preserve">ERITON DA CONCEICAO MARES GUIA 15833759706	</t>
  </si>
  <si>
    <t>SISTEMA DE EMERGENCIA MOVEL DE BRASILIA LTDA</t>
  </si>
  <si>
    <t>51.539.447 WASHINGTON LUIZ SANTOS DANTAS</t>
  </si>
  <si>
    <t>TOXILAB LABORATORIO DE ANALISES LTDA</t>
  </si>
  <si>
    <t>REUMASTO - CLINICA MEDICA LTDA</t>
  </si>
  <si>
    <t>SA SOLUCOES EM INFORMATICA LTDA</t>
  </si>
  <si>
    <t xml:space="preserve">CETEM BIOENGENHARIA LTDA	</t>
  </si>
  <si>
    <t>26/05/2024</t>
  </si>
  <si>
    <t>REALMAR DISTRIBUIDORA LTDA</t>
  </si>
  <si>
    <t>LONDRILAV LAVANDERIA INDUSTRIAL E HOSPITALAR - EIRELI</t>
  </si>
  <si>
    <t>PRO-ONCO - CENTRO DE TRATAMENTO ONCOLOGICO S.A.</t>
  </si>
  <si>
    <t>LOGOL SISTEMAS PREDIAIS LTDA</t>
  </si>
  <si>
    <t>FERNANDO ROSARIO LESSA 01984862510</t>
  </si>
  <si>
    <t>GUARD - GERENCIAMENTO E GUARDA DE DOCUMENTOS LTDA - ME</t>
  </si>
  <si>
    <t xml:space="preserve">TELEDATA COMERCIO E SERVICOS LTDA - CONTRATO 01	</t>
  </si>
  <si>
    <t>LA3 SOLUCOES E TECNOLOGIA LTDA</t>
  </si>
  <si>
    <t>AIKEN SOLUTIONS SERVICOS DE INFORMATICA LTDA</t>
  </si>
  <si>
    <t>COBES RESTAURANTE E SERVICOS EIRELI - ME</t>
  </si>
  <si>
    <t>LELO PARK ESTACIONAMENTOS EIRELI</t>
  </si>
  <si>
    <t>MODA BRANCA CONFECCOES LTDA ME</t>
  </si>
  <si>
    <t>K. L. SANTOS &amp; CIA LTDA</t>
  </si>
  <si>
    <t xml:space="preserve">MERCADINHO BAMBINA	</t>
  </si>
  <si>
    <t>ESPACO CYBER INFORMATICA E INTERNET LTDA ME</t>
  </si>
  <si>
    <t>LIFE TECHNOLOGIES BRASIL COMERCIO E INDUSTRIA DE PRODUTOS PARA BIOTECNOLOGIA LTDA</t>
  </si>
  <si>
    <t>JULIANA JUSTINO DE SOUZA 07614477685</t>
  </si>
  <si>
    <t>ELEUSA FERREIRA JACULI LOPES 04123606679</t>
  </si>
  <si>
    <t>WILLAMS LOPES DA SILVA SERVICOS DE PINTURA E REPARACAO - ME</t>
  </si>
  <si>
    <t>54.221.674 JOCIMAR REIS DA SILVA</t>
  </si>
  <si>
    <t>JD COMERCIO DE DERIVADOS DE BORRACHA LTDA</t>
  </si>
  <si>
    <t xml:space="preserve">SPICEFIT ALIMENTOS FUNCIONAIS LTDA	</t>
  </si>
  <si>
    <t>CLAUDIA ELAINE FURTADO 30788801848</t>
  </si>
  <si>
    <t>J.C.CASAROTTO MORO &amp; CIA LTDA</t>
  </si>
  <si>
    <t>PAES E DOCES VILA NOVA LTDA</t>
  </si>
  <si>
    <t>TOTAL FRIO REFRIGERACAO E AR CONDICIONADO LTDA</t>
  </si>
  <si>
    <t>42.980.905 DANYEL LUCAS NUNES QUINARELLI</t>
  </si>
  <si>
    <t>ROBERTO SOARES FERRAZ DE OLIVIERA MATERIAL PARA CONSTRUCAO</t>
  </si>
  <si>
    <t>CAVICHIOLI TI CONSULTORIA LTDA</t>
  </si>
  <si>
    <t>THP85 INTELIGENCIA COMERCIAL LTDA.</t>
  </si>
  <si>
    <t xml:space="preserve">SPARTA PLAN MEDIA COMUNICACAO LTDA	</t>
  </si>
  <si>
    <t>ROBSON DE SOUZA SANTOS 79185347515</t>
  </si>
  <si>
    <t>MANCLEAN DISTRIBUIDORA DE FILTROS LTDA</t>
  </si>
  <si>
    <t>DEDALUS PRIME SISTEMAS E SERVICOS DE INFORMATICA LTDA</t>
  </si>
  <si>
    <t>FULL TIME LOGISTICA LTDA</t>
  </si>
  <si>
    <t>SERQUIP - TRATAMENTO DE RESIDUOS MG LTDA</t>
  </si>
  <si>
    <t>X-MEDICAL ENGENHARIA E ASSISTENCIA TECNICA EIRELI</t>
  </si>
  <si>
    <t>ZHYCRON LOGISTICA LTDA</t>
  </si>
  <si>
    <t>RSTECH ENGENHARIA E COMERCIO LTDA.</t>
  </si>
  <si>
    <t>L. P. DOIN - CULTURA, LAZER E MARKETING LTDA</t>
  </si>
  <si>
    <t>REDE CIDADA</t>
  </si>
  <si>
    <t xml:space="preserve">EUROLATINO EMPREENDIMENTOS IMOBILIARIOS LTDA	</t>
  </si>
  <si>
    <t>INFORMACAO LTDA</t>
  </si>
  <si>
    <t xml:space="preserve">ROCK COMUNICACAO S.A.	</t>
  </si>
  <si>
    <t>GIORDANI CAMICIA SERVICOS MEDICOS LTDA</t>
  </si>
  <si>
    <t>GI GROUP BRASIL RECURSOS HUMANOS LTDA</t>
  </si>
  <si>
    <t>BERTOLDI E BUZATTO LTDA</t>
  </si>
  <si>
    <t>Ubertaxi - Cooperativa De Transporte De Passageiros De</t>
  </si>
  <si>
    <t>CENTRO DE INTEGRACAO EMPRESA ESCOLA CIE E</t>
  </si>
  <si>
    <t xml:space="preserve">FIGUEIREDO &amp; PITON ADVOGADOS ASSOCIADOS	</t>
  </si>
  <si>
    <t>ELEVADORES ATLAS SCHINDLER LTDA.</t>
  </si>
  <si>
    <t>ANJOS DA GUARDA MONITORAMENTO E COMERCIO DE SEGURANCA ELETRONICA LTDA</t>
  </si>
  <si>
    <t>CONTROL LAB CONTROLE DE QUALIDADE P LABORATORIOS LTDA</t>
  </si>
  <si>
    <t>MERCATTO DISTRIBUIDORA LTDA.</t>
  </si>
  <si>
    <t>PANAMERICANA SUPRIMENTOS PARA INFORMATICA LTDA</t>
  </si>
  <si>
    <t>METROMED ELETROMEDICINA LTDA</t>
  </si>
  <si>
    <t>JK COMERCIO DE FERRAGENS LTDA</t>
  </si>
  <si>
    <t>PHILIPS CLINICAL INFORMATICS - SISTEMAS DE INFORMACAO LTDA</t>
  </si>
  <si>
    <t>SERVICO DE ATENDIMENTO MEDICO E DIAGNOSTICO LTDA</t>
  </si>
  <si>
    <t xml:space="preserve">SMC GERADORES LTDA	</t>
  </si>
  <si>
    <t>KIROPHARMA FARMACIA LTDA</t>
  </si>
  <si>
    <t>SERRAMED PRODUTOS HOSPITALARES EIRELI</t>
  </si>
  <si>
    <t>LIDERA PRO COMERCIO DE PRODUTOS E SERVICOS LTDA</t>
  </si>
  <si>
    <t>F G INFOTEC RECIFE EIRELI</t>
  </si>
  <si>
    <t>USIBRAS USINA BRASILEIRA DE OLEOS E CASTANHA LTDA</t>
  </si>
  <si>
    <t>SUZANO S.A.</t>
  </si>
  <si>
    <t>ECOLIMP SISTEMAS DE SERVICOS LTDA.</t>
  </si>
  <si>
    <t>APROVEH ASSOCIACAO PROFISSIONALIZANTE COM VALORES EDUCACIONAIS E HUMANOS</t>
  </si>
  <si>
    <t>MCASTILHO SERVICOS MEDICOS LIMITADA</t>
  </si>
  <si>
    <t>SOCIEDADE BRASILEIRA DE PATOLOGIA CLINICA/MEDICINA LABORATORIAL</t>
  </si>
  <si>
    <t>LS TEXTIL LTDA</t>
  </si>
  <si>
    <t>TIGRE COMERCIO DE GENEROS ALIMENTICIOS LTDA</t>
  </si>
  <si>
    <t>CIL COMERCIO DE INFORMATICA LTDA</t>
  </si>
  <si>
    <t>SAINT CLAIRE IND E COMERCIO LTDA - EPP</t>
  </si>
  <si>
    <t>VCH - IMPORTADORA, EXPORTADORA E DISTRIBUICAO DE PRODUTOS LTDA</t>
  </si>
  <si>
    <t>MUDE MOBILIARIOS URBANOS DESPORTIVOS S.A</t>
  </si>
  <si>
    <t>ROBERT HALF TRABALHO TEMPORARIO LTDA.</t>
  </si>
  <si>
    <t>PANPHARMA DISTRIBUIDORA DE MEDICAMENTOS LTDA</t>
  </si>
  <si>
    <t>MEGS SOLUC.PROFIS.P/LIMPEZA E PAPELARIA</t>
  </si>
  <si>
    <t>GMB COMERCIO E SERVICOS LTDA</t>
  </si>
  <si>
    <t xml:space="preserve">BHZ VENDAS DE CAFE E INSUMOS LTDA	</t>
  </si>
  <si>
    <t>VISUPLAC PROJETOS E MIDIAS URBANAS LTDA</t>
  </si>
  <si>
    <t>AKTO TECNOLOGIA EIREILI EPP</t>
  </si>
  <si>
    <t>MEZZOW DESENCOLVIMENTO DE SISTEMA LTDA-ME</t>
  </si>
  <si>
    <t xml:space="preserve">RP MATERIAIS ELETRICOS LTDA	</t>
  </si>
  <si>
    <t>DE PAULA GRAFICA DIGITAL LTDA ME</t>
  </si>
  <si>
    <t>BIOLOGISTICA SOLUCOES EM LOGISTICA E SERVICOS EIRELI</t>
  </si>
  <si>
    <t>WILLIAN AMARAL PARADELLA 18222333720</t>
  </si>
  <si>
    <t>CIRURGICA FERNANDES - COMERCIO DE MATERIAIS CIRURGICOS E HOSPITALARES - SOCIEDADE LIMITADA</t>
  </si>
  <si>
    <t>ACRIL BRAZ SERVICOS ESPECIALIZADOS INDUSTRIA E COMERCIO LTDA</t>
  </si>
  <si>
    <t>PI TECNOLOGIA DA INFORMACAO LTDA</t>
  </si>
  <si>
    <t>05/08/2024</t>
  </si>
  <si>
    <t>VISUAL SISTEMAS ELETRONICOS LTDA</t>
  </si>
  <si>
    <t>HAMORIM MAQ.CAFE EXPRESSO LTDA</t>
  </si>
  <si>
    <t>NESTLE BRASIL LTDA.</t>
  </si>
  <si>
    <t>UNITY SERVICOS DE IMPRESSAO LTDA</t>
  </si>
  <si>
    <t>INSTITUTO HERMES PARDINI S.A.</t>
  </si>
  <si>
    <t>07301 - MV INSTALACOES DE GASES LTDA - ME</t>
  </si>
  <si>
    <t>15/11/2023</t>
  </si>
  <si>
    <t>05401 - CONSORCIO OTIMO DE BILHETAGEM ELETRONICA</t>
  </si>
  <si>
    <t>01/04/2024</t>
  </si>
  <si>
    <t>02701 - CONSORCIO OTIMO DE BILHETAGEM ELETRONICA</t>
  </si>
  <si>
    <t>00105 - CONSORCIO OTIMO DE BILHETAGEM ELETRONICA</t>
  </si>
  <si>
    <t>07301 - PRIME AUTOMACAO COMERCIAL LTDA</t>
  </si>
  <si>
    <t>04301 - CONSORCIO OTIMO DE BILHETAGEM ELETRONICA</t>
  </si>
  <si>
    <t>05/04/2024</t>
  </si>
  <si>
    <t>00101 - CONSORCIO OTIMO DE BILHETAGEM ELETRONICA</t>
  </si>
  <si>
    <t>02901 - RONAN RODRIGUES FRANCA 08056029680</t>
  </si>
  <si>
    <t>07602 - MEZZOW DESENCOLVIMENTO DE SISTEMA LTDA-ME</t>
  </si>
  <si>
    <t>00101 - L. P. DOIN - CULTURA, LAZER E MARKETING EIRELI</t>
  </si>
  <si>
    <t>00104 - STRATVIEW BRASIL SERVICOS EM INFORMATICA LTDA</t>
  </si>
  <si>
    <t>01010 - AMERICANAS S.A - EM RECUPERACAO JUDICIAL</t>
  </si>
  <si>
    <t>03901 - ASSOCIACAO DE ENSINO SOCIAL PROFISSIONALIZANTE</t>
  </si>
  <si>
    <t>10/05/2024</t>
  </si>
  <si>
    <t>09501 - CENTRO DE INTEGRACAO EMPRESA ESCOLA CIE E</t>
  </si>
  <si>
    <t>06201 - ASSOCIACAO DE ENSINO SOCIAL PROFISSIONALIZANTE</t>
  </si>
  <si>
    <t>01702 - AGIL MED COMERCIO DE MEDICAMENTOS LTDA.</t>
  </si>
  <si>
    <t>07301 - FARMATEST MATERIAIS MEDICO E LABORATORIAIS LTDA</t>
  </si>
  <si>
    <t>15301 - ACCENTURE DO BRASIL LTDA</t>
  </si>
  <si>
    <t>08601 - TIGRE COMERCIO DE GENEROS ALIMENTICIOS LTDA</t>
  </si>
  <si>
    <t>21/05/2024</t>
  </si>
  <si>
    <t>01702 - FORTPEL COMERCIO DE DESCARTAVEIS LTDA</t>
  </si>
  <si>
    <t>15301 - COMPILA PROCESSAMENTO ELETRONICO DE DADOS LTDA - ME</t>
  </si>
  <si>
    <t>00105 - PATOLOGIA CLINICA SAO PAULO LTDA</t>
  </si>
  <si>
    <t>04801 - MRB EXPRESS EIRELI</t>
  </si>
  <si>
    <t>07603 - TRANSPORTADORA DE DIESEL CAVALO MARINHO LTDA</t>
  </si>
  <si>
    <t>02901 - SOCIEDADE BENEF ISRAELITABRAS HOSPITAL ALBERT EINSTEIN</t>
  </si>
  <si>
    <t>09101 - MRB EXPRESS EIRELI</t>
  </si>
  <si>
    <t>06501 - CONSORCIO OTIMO DE BILHETAGEM ELETRONICA</t>
  </si>
  <si>
    <t>07401 - MRB EXPRESS EIRELI</t>
  </si>
  <si>
    <t>02901 - TM - TORRES MIARI PROJETOS E PARTICIPACOES LTDA - EPP</t>
  </si>
  <si>
    <t>03001 - MRB EXPRESS EIRELI</t>
  </si>
  <si>
    <t>08001 - MRB EXPRESS EIRELI</t>
  </si>
  <si>
    <t>08601 - MRB EXPRESS EIRELI</t>
  </si>
  <si>
    <t>04907 - MRB EXPRESS EIRELI</t>
  </si>
  <si>
    <t>04601 - MRB EXPRESS EIRELI</t>
  </si>
  <si>
    <t>01001 - MRB EXPRESS EIRELI</t>
  </si>
  <si>
    <t>00101 - VCH - IMPORTADORA, EXPORTADORA E DISTRIBUICAO DE PRODUTOS LTDA</t>
  </si>
  <si>
    <t>07401 - PANPHARMA DISTRIBUIDORA DE MEDICAMENTOS LTDA</t>
  </si>
  <si>
    <t>04901 - DE PAULA GRAFICA DIGITAL LTDA.</t>
  </si>
  <si>
    <t>06201 - INSTITUTO QUALISA DE GESTAO LTDA</t>
  </si>
  <si>
    <t>00105 - SAINT CLAIRE IND E COMERCIO LTDA - EPP</t>
  </si>
  <si>
    <t>08601 - ESPACO CYBER INFORMATICA E INTERNET LTDA</t>
  </si>
  <si>
    <t>08601 - MACACOS DESENVOLVIMENTO E DESIGN LTDA</t>
  </si>
  <si>
    <t>09004 - ECOLIMP SISTEMAS DE SERVICOS LTDA.</t>
  </si>
  <si>
    <t>07401 - 51.595.435 ROBSON LEANDRO DA SILVA GOMES</t>
  </si>
  <si>
    <t>04601 - KLIN SHOP LTDA</t>
  </si>
  <si>
    <t>09401 - NORTE AMBIENTAL TRATAMENTO DE RESIDUOS LTDA</t>
  </si>
  <si>
    <t>10301 - ASSOCIACAO DE ENSINO SOCIAL PROFISSIONALIZANTE</t>
  </si>
  <si>
    <t>01001 - COGAN CENTRO DE ONCOLOGIA AVANCADA LTDA</t>
  </si>
  <si>
    <t>01001 - COBES RESTAURANTE E SERVICOS EIRELI - ME</t>
  </si>
  <si>
    <t>04101 - DONA DE CASA SUPERMERCADOS LTDA</t>
  </si>
  <si>
    <t>09401 - ONCO PROD DISTRIBUIDORA DE PRODUTOS HOSPITALARES E ONCOLOGICOS LTDA.</t>
  </si>
  <si>
    <t>08202 - SUPRICORP SUPRIMENTOS LTDA</t>
  </si>
  <si>
    <t>10301 - MOVEIS E ESTOFADOS SERRA GAUCHA LTDA</t>
  </si>
  <si>
    <t>07101 - MACACOS DESENVOLVIMENTO E DESIGN LTDA</t>
  </si>
  <si>
    <t>04101 - MATERGIN SERVICOS MEDICOS LTDA</t>
  </si>
  <si>
    <t>01001 - THOR PRODUCOES LTDA</t>
  </si>
  <si>
    <t>00104 - PUZZLE SOLUCOES DIGITAIS LTDA</t>
  </si>
  <si>
    <t>07401 - X-MEDICAL ENGENHARIA E ASSISTENCIA TECNICA EIRELI</t>
  </si>
  <si>
    <t>01001 - BPM SERVICOS MEDICOS LTDA</t>
  </si>
  <si>
    <t>07401 - APROVEH ASSOCIACAO PROFISSIONALIZANTE COM VALORES EDUCACIONAIS E HUMANOS</t>
  </si>
  <si>
    <t>07401 - UBERTAXI - COOPERATIVA DE TRANSPORTE DE PASSAGEIROS DE UBERLANDIA LTDA</t>
  </si>
  <si>
    <t>11 Junho, 2024 - Victoria Isis Ferreira de Paula</t>
  </si>
  <si>
    <t>2024/04/17 - N - 01702 - CQO - The Place I</t>
  </si>
  <si>
    <t>2024/05/18 - N - Oncobio</t>
  </si>
  <si>
    <t>2024/05/28 - N - MICROIMAGEM LAB DE ANATOMIA PAT E CITOPATOLOGIA</t>
  </si>
  <si>
    <t>EMERGENCIAL - 2024/05/29-Oncobio</t>
  </si>
  <si>
    <t>2024/06/18 - 00104 - Holding - SP</t>
  </si>
  <si>
    <t>2024/06/12 - 00104 - Holding - SP</t>
  </si>
  <si>
    <t>Bianca Martiniano Castro</t>
  </si>
  <si>
    <t>2024/06/12 - Holding - SP</t>
  </si>
  <si>
    <t>2024/07/03 - 07301 - Hospital Doutor Marcos Moraes</t>
  </si>
  <si>
    <t>2024/07/04 - 07301 - Hospital Doutor Marcos Moraes</t>
  </si>
  <si>
    <t>2024/06/15 - 07401 - UMC - UBERLANDIA MEDICAL CENTER</t>
  </si>
  <si>
    <t>EMERGENCIAL - 2024/06/10-Holding - SP</t>
  </si>
  <si>
    <t>Aline de Sousa Freitas</t>
  </si>
  <si>
    <t>2024/06/10 - NEON - Matriz</t>
  </si>
  <si>
    <t>Tratativa erro Integração</t>
  </si>
  <si>
    <t>2024/06/10 - Hospital Doutor Marcos Moraes</t>
  </si>
  <si>
    <t>2024/06/14 - Holding - SP</t>
  </si>
  <si>
    <t>2024/06/17 - 08201 - COTE - CENTRO ONCOLOGICO E TRATAMENTOS ESPECIAIS LTDA</t>
  </si>
  <si>
    <t>2024/06/13 - ICB - OSM</t>
  </si>
  <si>
    <t>2024/06/17 - Holding - SP</t>
  </si>
  <si>
    <t>Marilia Pereira Dantas</t>
  </si>
  <si>
    <t>2024/06/19 - CPO PB - João Pessoa</t>
  </si>
  <si>
    <t>2024/06/14 - 09001 - Cettro - Asa Norte</t>
  </si>
  <si>
    <t>2024/06/14 - Oncoclinicas (Ceon)</t>
  </si>
  <si>
    <t>2024/06/24 - 00104 - Holding - SP</t>
  </si>
  <si>
    <t>2024/06/25 - UMC - UBERLANDIA MEDICAL CENTER</t>
  </si>
  <si>
    <t>2024/06/14 - UMC IMAGEM</t>
  </si>
  <si>
    <t>2024/07/05 - 07301 - Hospital Doutor Marcos Moraes</t>
  </si>
  <si>
    <t>2024/06/21 - 07301 - Hospital Doutor Marcos Moraes</t>
  </si>
  <si>
    <t>2024/06/17 - CTTB</t>
  </si>
  <si>
    <t>2024/06/25 - 07301 - Hospital Doutor Marcos Moraes</t>
  </si>
  <si>
    <t>2024/06/18 - Holding - SP</t>
  </si>
  <si>
    <t>2024/06/18 - Idengene</t>
  </si>
  <si>
    <t>2024/06/18 - 05201 - Instituto Oncoclínicas de Pesquisa</t>
  </si>
  <si>
    <t>2024/06/18 - CNU_DF – ANGARA</t>
  </si>
  <si>
    <t>Luciano Ramos da Silva</t>
  </si>
  <si>
    <t>2024/07/05 - 01001 - CPO SP - Faria Lima (10º andar)</t>
  </si>
  <si>
    <t>2024/07/05 - 00105 - Oncocentro - BH</t>
  </si>
  <si>
    <t>2024/06/21 - 01010 - CPO Zona Leste</t>
  </si>
  <si>
    <t>2024/06/21 - 01002 - CPO SP - Higienópolis (2º andar)</t>
  </si>
  <si>
    <t>Erica Jacqueline De Oliveira Lopes</t>
  </si>
  <si>
    <t>2024/06/20 - Hematologica - Matriz</t>
  </si>
  <si>
    <t>2024/06/13 - 07701 - CLION RIO VERMELHO</t>
  </si>
  <si>
    <t>2024/06/12 - Sensumed</t>
  </si>
  <si>
    <t>2024/06/12 - CBR - Centro Brasileiro de Radioterapia Oncologia e Mastologia</t>
  </si>
  <si>
    <t>Joicelyn da Silva Oliveira Monteiro</t>
  </si>
  <si>
    <t>2024/06/24 - 05201 - Instituto Oncoclínicas de Pesquisa</t>
  </si>
  <si>
    <t>2024/06/18 - Aliança - Sandu</t>
  </si>
  <si>
    <t>2024/06/17 - Cettro - Asa Norte</t>
  </si>
  <si>
    <t>2024/06/14 - Cettro - Asa Norte</t>
  </si>
  <si>
    <t>Tiago Ferreira de Assis</t>
  </si>
  <si>
    <t>E - 07603 - CAM LAURO DE FREITAS - Serviço</t>
  </si>
  <si>
    <t>3 Junho, 2024 - Viviane Rodrigues Pinheiro</t>
  </si>
  <si>
    <t>00104 - DANIELE BRUNO MATOS CONSULTORIA DE RH</t>
  </si>
  <si>
    <t>11 Junho, 2024 - Milena Dos Santos Costa Vilela</t>
  </si>
  <si>
    <t>11 Junho, 2024 - Fabiana da Silva Oliveira</t>
  </si>
  <si>
    <t>Fabio Silva de Oliveira</t>
  </si>
  <si>
    <t>6 Março, 2024 - Fabio Silva de Oliveira</t>
  </si>
  <si>
    <t>Josielmo Rodrigues Santos</t>
  </si>
  <si>
    <t>N - NOS - Verificação de emissão de NFA</t>
  </si>
  <si>
    <t>27/03/2024</t>
  </si>
  <si>
    <t>Thiago Fernandes Costa</t>
  </si>
  <si>
    <t>22 Abril, 2024 - Thiago Fernandes Costa</t>
  </si>
  <si>
    <t>Washington Mota De Oliveira</t>
  </si>
  <si>
    <t>13 Maio, 2024 - Washington Mota De Oliveira</t>
  </si>
  <si>
    <t>24 Maio, 2024 - Thiago Fernandes Costa</t>
  </si>
  <si>
    <t>Ana Vitoria Oleniki Batista</t>
  </si>
  <si>
    <t xml:space="preserve">N - IHOC - Envio de nota fiscal de devolução Tasy e Diversos </t>
  </si>
  <si>
    <t>Amanda Silva Dos Santos</t>
  </si>
  <si>
    <t>Solução de Inconsistência</t>
  </si>
  <si>
    <t xml:space="preserve">N - Medquimheo - Matriz - Envio de nota fiscal de devolução Tasy e Diversos </t>
  </si>
  <si>
    <t>11 Junho, 2024 - Ingrid Daiane dos Santos Costa</t>
  </si>
  <si>
    <t>11 Junho, 2024 - Sabrina Coimbra e Silva Marcos</t>
  </si>
  <si>
    <t>Drielle Vanessa Caldeira da Rosa</t>
  </si>
  <si>
    <t>10 Junho, 2024 - Drielle Vanessa Caldeira da Rosa</t>
  </si>
  <si>
    <t>11 Junho, 2024 - Julia Cristina Santos</t>
  </si>
  <si>
    <t>Analistas</t>
  </si>
  <si>
    <t>Atribuições</t>
  </si>
  <si>
    <t>Analise Fiscal</t>
  </si>
  <si>
    <t>Solicitação GDE e medição de contratos</t>
  </si>
  <si>
    <t>Para o Grupo ANÁLISE FISCAL V360</t>
  </si>
  <si>
    <t>07602 - CRS ADMINISTRACAO DE OBRAS E SERVICOS DE MANUTENCAO ELETRICA EIRELI</t>
  </si>
  <si>
    <t>19/02/2024</t>
  </si>
  <si>
    <t>Até 17/06/2024 16:19:15</t>
  </si>
  <si>
    <t>Até 14/06/2024 10:18:54</t>
  </si>
  <si>
    <t xml:space="preserve">12 Junho, 2024 - </t>
  </si>
  <si>
    <t>Até 14/06/2024 13:55:16</t>
  </si>
  <si>
    <t>05501 - MARCOS ALEXANDRE 03162266963</t>
  </si>
  <si>
    <t>Desde 13/06/2024 17:42:58</t>
  </si>
  <si>
    <t>00104 - FACEBOOK SERVICOS ONLINE DO BRASIL LTDA.</t>
  </si>
  <si>
    <t>Até 14/06/2024 10:09:15</t>
  </si>
  <si>
    <t>00110 - FABIA DA SILVA MATHEUS RODRIGUES</t>
  </si>
  <si>
    <t>Até 14/06/2024 09:48:16</t>
  </si>
  <si>
    <t>01011 - TECH ODONTO ASSISTENCIA TECNICA ODONTOLOGICA LTDA</t>
  </si>
  <si>
    <t>Desde 13/06/2024 16:20:08</t>
  </si>
  <si>
    <t>07301 - BIOXXI SERVICOS DE ESTERILIZACAO LTDA</t>
  </si>
  <si>
    <t>Até 14/06/2024 16:00:00</t>
  </si>
  <si>
    <t>01009 - VIA MAIS SERVICOS DE ESTACIONAMENTO E FACILITIES LTDA</t>
  </si>
  <si>
    <t>Até 17/06/2024 15:29:02</t>
  </si>
  <si>
    <t>00901 - FACILITA SERVICOS DE APOIO ADMINISTRATIVO E DESPACHANTES LTDA</t>
  </si>
  <si>
    <t>Até 14/06/2024 09:27:14</t>
  </si>
  <si>
    <t xml:space="preserve">09701 - </t>
  </si>
  <si>
    <t>Até 17/06/2024 11:00:00</t>
  </si>
  <si>
    <t>Desde 13/06/2024 13:02:00</t>
  </si>
  <si>
    <t>Desde 12/06/2024 13:43:48</t>
  </si>
  <si>
    <t>Desde 13/06/2024 09:45:20</t>
  </si>
  <si>
    <t>Desde 12/06/2024 14:29:55</t>
  </si>
  <si>
    <t>Desde 13/06/2024 10:00:00</t>
  </si>
  <si>
    <t>09102 - LFN COMERCIO E SERVICOS LTDA</t>
  </si>
  <si>
    <t>Até 14/06/2024 08:07:28</t>
  </si>
  <si>
    <t>00105 - ASSOCIACAO DE ENSINO SOCIAL PROFISSIONALIZANTE</t>
  </si>
  <si>
    <t>Até 14/06/2024 10:00:00</t>
  </si>
  <si>
    <t>03401 - ASSOCIACAO DE ENSINO SOCIAL PROFISSIONALIZANTE</t>
  </si>
  <si>
    <t>Até 14/06/2024 09:28:29</t>
  </si>
  <si>
    <t>00105 - ZANDER ETIQUETAS LTDA - EPP</t>
  </si>
  <si>
    <t>Até 14/06/2024 09:20:00</t>
  </si>
  <si>
    <t>01001 - AMBICAMP COLETA E DESTINACAO DE RESIDUOS LTDA</t>
  </si>
  <si>
    <t>Até 14/06/2024 14:55:32</t>
  </si>
  <si>
    <t>03101 - MONDRI COMERCIO E SERVICOS LTDA</t>
  </si>
  <si>
    <t>Até 14/06/2024 10:15:45</t>
  </si>
  <si>
    <t>02101 - BRAMED MATERIAL CIRURGICO LTDA - EPP</t>
  </si>
  <si>
    <t>Até 14/06/2024 13:07:10</t>
  </si>
  <si>
    <t>Desde 13/06/2024 13:03:46</t>
  </si>
  <si>
    <t>Desde 13/06/2024 13:04:30</t>
  </si>
  <si>
    <t>Desde 13/06/2024 13:05:27</t>
  </si>
  <si>
    <t>Desde 13/06/2024 08:35:26</t>
  </si>
  <si>
    <t>Desde 12/06/2024 16:00:00</t>
  </si>
  <si>
    <t>Desde 13/06/2024 15:41:32</t>
  </si>
  <si>
    <t>Desde 13/06/2024 15:42:00</t>
  </si>
  <si>
    <t>Desde 13/06/2024 08:38:42</t>
  </si>
  <si>
    <t>Até 14/06/2024 08:33:36</t>
  </si>
  <si>
    <t>Desde 13/06/2024 08:43:05</t>
  </si>
  <si>
    <t>01704 - AERODUTO ARCONDICIONADO LTDA</t>
  </si>
  <si>
    <t>Desde 13/06/2024 17:57:24</t>
  </si>
  <si>
    <t>Até 14/06/2024 09:24:03</t>
  </si>
  <si>
    <t>05701 - ALFA PJ1 ENTREGAS RAPIDAS LTDA - ME</t>
  </si>
  <si>
    <t>Até 14/06/2024 09:38:55</t>
  </si>
  <si>
    <t>07101 - INSTITUTO QUALISA DE GESTAO LTDA</t>
  </si>
  <si>
    <t>Até 14/06/2024 11:24:01</t>
  </si>
  <si>
    <t>Até 14/06/2024 11:25:03</t>
  </si>
  <si>
    <t>07101 - EMED - PROJETOS E GERENCIAMENTO DE OBRAS LTDA</t>
  </si>
  <si>
    <t>Até 14/06/2024 10:41:35</t>
  </si>
  <si>
    <t>00105 - SERQUIP - TRATAMENTO DE RESIDUOS MG LTDA</t>
  </si>
  <si>
    <t>09101 - TRUST MEDIA CONSULTORIA LTDA</t>
  </si>
  <si>
    <t>Até 14/06/2024 08:40:37</t>
  </si>
  <si>
    <t>01501 - SEQUILHATO LTDA</t>
  </si>
  <si>
    <t>Até 14/06/2024 11:25:16</t>
  </si>
  <si>
    <t>02201 - ATACADO SAO PAULO LTDA</t>
  </si>
  <si>
    <t>Desde 13/06/2024 16:00:00</t>
  </si>
  <si>
    <t>00901 - SUZANO S.A.</t>
  </si>
  <si>
    <t>Desde 13/06/2024 16:02:59</t>
  </si>
  <si>
    <t>03001 - MEC TOCA PAPELARIA E INFORMATICA LTDA</t>
  </si>
  <si>
    <t>Desde 13/06/2024 16:03:40</t>
  </si>
  <si>
    <t>07603 - MCR COMERCIO E SERVICOS LTDA</t>
  </si>
  <si>
    <t>Até 14/06/2024 09:29:41</t>
  </si>
  <si>
    <t>09301 - DISTRIBUIDORA MODERNA LTDA</t>
  </si>
  <si>
    <t>Até 14/06/2024 14:04:25</t>
  </si>
  <si>
    <t>09501 - ARCONTEMP AR CONDICIONADO E ELETRICA LTDA</t>
  </si>
  <si>
    <t>Desde 13/06/2024 17:21:30</t>
  </si>
  <si>
    <t>08601 - PANIFICADORA E CONFEITARIA BOMTEMPO E FLAVIO LTDA</t>
  </si>
  <si>
    <t>Até 14/06/2024 13:51:42</t>
  </si>
  <si>
    <t>10301 - CENTRAL DE AVIAMENTOS SAO PAULO LTDA</t>
  </si>
  <si>
    <t>Desde 13/06/2024 16:21:26</t>
  </si>
  <si>
    <t>Até 14/06/2024 13:51:49</t>
  </si>
  <si>
    <t>07401 - SOUZA &amp; RIBEIRO COMERCIO DE EMBALAGENS LTDA</t>
  </si>
  <si>
    <t>Desde 13/06/2024 16:45:32</t>
  </si>
  <si>
    <t>Até 14/06/2024 14:05:29</t>
  </si>
  <si>
    <t>08401 - BRASFILME COM. EMPREEND. E PARTICIPACOES LTDA</t>
  </si>
  <si>
    <t>Até 14/06/2024 08:00:36</t>
  </si>
  <si>
    <t>12201 - SANTOS DROGARIAS LTDA</t>
  </si>
  <si>
    <t>Desde 13/06/2024 16:53:02</t>
  </si>
  <si>
    <t>12201 - CIRURGICA PINHEIRO LTDA</t>
  </si>
  <si>
    <t>Desde 13/06/2024 16:55:48</t>
  </si>
  <si>
    <t>Desde 13/06/2024 16:59:12</t>
  </si>
  <si>
    <t>10001 - PVR INFORMATICA LTDA</t>
  </si>
  <si>
    <t>09101 - MAIRA ISABEL SILVEIRA MELO 28058950025</t>
  </si>
  <si>
    <t>Até 14/06/2024 09:08:13</t>
  </si>
  <si>
    <t>08401 - CIRURGICA PINHEIRO LTDA</t>
  </si>
  <si>
    <t>Até 14/06/2024 08:02:52</t>
  </si>
  <si>
    <t>10301 - JIC CIRURGICA LTDA</t>
  </si>
  <si>
    <t>Desde 13/06/2024 17:21:17</t>
  </si>
  <si>
    <t>08601 - VILELA DERMATOLOGIA INTEGRATIVA LTDA</t>
  </si>
  <si>
    <t>Até 14/06/2024 14:16:32</t>
  </si>
  <si>
    <t>05701 - PRINT PAPER EDITORA GRAFICA LTDA - ME</t>
  </si>
  <si>
    <t>09501 - ALTERNATIVA RIO PRETO COMERCIO DE EQUIPAMENTOS PARA INFORMATICA LTDA</t>
  </si>
  <si>
    <t>Até 14/06/2024 10:09:13</t>
  </si>
  <si>
    <t>04801 - ELETROMAX 25 DE AGOSTO LTDA</t>
  </si>
  <si>
    <t>Até 14/06/2024 09:54:26</t>
  </si>
  <si>
    <t>02301 - WILSON SANTOS CASTRO 00873126548</t>
  </si>
  <si>
    <t>Até 14/06/2024 10:52:23</t>
  </si>
  <si>
    <t>02701 - CENTROLUZ COMERCIO DE ILUMINACAO LTDA</t>
  </si>
  <si>
    <t>Até 14/06/2024 15:31:57</t>
  </si>
  <si>
    <t>01502 - FERNANDO ROSARIO LESSA 01984862510</t>
  </si>
  <si>
    <t>Até 14/06/2024 11:41:34</t>
  </si>
  <si>
    <t>10201 - MATLAB REPRESENTACAO COMERCIAL LTDA</t>
  </si>
  <si>
    <t>Até 14/06/2024 14:33:35</t>
  </si>
  <si>
    <t>08202 - MATLAB REPRESENTACAO COMERCIAL LTDA</t>
  </si>
  <si>
    <t>Até 14/06/2024 15:08:18</t>
  </si>
  <si>
    <t>09301 - MATLAB REPRESENTACAO COMERCIAL LTDA</t>
  </si>
  <si>
    <t>Até 14/06/2024 11:58:38</t>
  </si>
  <si>
    <t>02201 - MATLAB REPRESENTACAO COMERCIAL LTDA</t>
  </si>
  <si>
    <t>Até 17/06/2024 08:31:46</t>
  </si>
  <si>
    <t>10201 - WHITE MARTINS GASES INDUSTRIAIS LTDA</t>
  </si>
  <si>
    <t>Até 14/06/2024 13:46:41</t>
  </si>
  <si>
    <t>07301 - ESSENCIALMED COMERCIO DE MEDICAMENTOS E MATERIAIS CIRURGICOS LTDA</t>
  </si>
  <si>
    <t>00107 - VEREDAS MULTIMED LTDA</t>
  </si>
  <si>
    <t>Até 14/06/2024 13:34:56</t>
  </si>
  <si>
    <t>02901 - COMPASS ASSESSORIA E FORMACAO EM SAUDE LTDA</t>
  </si>
  <si>
    <t>Até 14/06/2024 13:25:43</t>
  </si>
  <si>
    <t>00107 - FARMATEST MATERIAIS MEDICO E LABORATORIAIS LTDA</t>
  </si>
  <si>
    <t>Até 14/06/2024 13:38:12</t>
  </si>
  <si>
    <t>08401 - CAIO M R CHRISTOFF SERVICOS MEDICOS LTDA</t>
  </si>
  <si>
    <t>Até 14/06/2024 13:24:32</t>
  </si>
  <si>
    <t>00107 - BM GASES E FESTAS LTDA</t>
  </si>
  <si>
    <t>Até 14/06/2024 13:41:35</t>
  </si>
  <si>
    <t>09701 - SUZANO S.A.</t>
  </si>
  <si>
    <t>Até 14/06/2024 13:51:22</t>
  </si>
  <si>
    <t>00107 - RINNUS CLINICA E ASSISTENCIA MEDICA LTDA</t>
  </si>
  <si>
    <t>Até 14/06/2024 14:15:54</t>
  </si>
  <si>
    <t>08101 - ALELO INSTITUICAO DE PAGAMENTO SA</t>
  </si>
  <si>
    <t>Até 14/06/2024 14:30:12</t>
  </si>
  <si>
    <t>Até 14/06/2024 14:15:07</t>
  </si>
  <si>
    <t>Até 14/06/2024 15:53:00</t>
  </si>
  <si>
    <t>10201 - VALDNEI FERNANDES DA SILVA</t>
  </si>
  <si>
    <t>Até 14/06/2024 14:24:18</t>
  </si>
  <si>
    <t>02301 - PAULO JORGE DA SILVA - ME</t>
  </si>
  <si>
    <t>Até 14/06/2024 14:18:56</t>
  </si>
  <si>
    <t>06501 - JP SMART VENDING OPERADORA DE MAQUINAS AUTOMATICAS LTDA</t>
  </si>
  <si>
    <t>Até 14/06/2024 15:44:08</t>
  </si>
  <si>
    <t>02201 - INSTITUTO DE ACREDITACAO E GESTAO, CONSULTORIA E SISTEMAS DE INFORMACAO LTDA - ME</t>
  </si>
  <si>
    <t>Até 17/06/2024 08:30:28</t>
  </si>
  <si>
    <t>13 Junho, 2024 - Integrador Fluig</t>
  </si>
  <si>
    <t>Até 14/06/2024 16:34:57</t>
  </si>
  <si>
    <t>Até 17/06/2024 17:00:00</t>
  </si>
  <si>
    <t>Até 17/06/2024 14:33:28</t>
  </si>
  <si>
    <t>Até 17/06/2024 14:58:00</t>
  </si>
  <si>
    <t>Para o Grupo CSO - Central de Notas</t>
  </si>
  <si>
    <t>Desde 11/06/2024 11:00:00</t>
  </si>
  <si>
    <t>Desde 07/06/2024 11:00:00</t>
  </si>
  <si>
    <t>Desde 06/06/2024 17:06:13</t>
  </si>
  <si>
    <t>Desde 06/06/2024 17:05:59</t>
  </si>
  <si>
    <t>Desde 06/06/2024 17:05:50</t>
  </si>
  <si>
    <t>Mauricio Russo Lopes</t>
  </si>
  <si>
    <t>2024/04/02 - N - 09301 - Sensumed</t>
  </si>
  <si>
    <t>Até 14/06/2024 09:22:37</t>
  </si>
  <si>
    <t>Desde 06/06/2024 17:05:28</t>
  </si>
  <si>
    <t>Desde 06/06/2024 17:05:13</t>
  </si>
  <si>
    <t>Desde 07/06/2024 13:21:52</t>
  </si>
  <si>
    <t>2024/04/29 - N - Oncobio</t>
  </si>
  <si>
    <t>26/04/2024</t>
  </si>
  <si>
    <t>Até 17/06/2024 12:00:00</t>
  </si>
  <si>
    <t>Desde 06/06/2024 17:04:45</t>
  </si>
  <si>
    <t>Jonathan Leite Barbosa</t>
  </si>
  <si>
    <t>2024/05/17 - N - UMC - UBERLANDIA MEDICAL CENTER</t>
  </si>
  <si>
    <t>Até 14/06/2024 09:17:25</t>
  </si>
  <si>
    <t>Desde 07/06/2024 13:33:50</t>
  </si>
  <si>
    <t>Desde 06/06/2024 17:03:37</t>
  </si>
  <si>
    <t>Patricia Fonseca</t>
  </si>
  <si>
    <t>Tratar Erro</t>
  </si>
  <si>
    <t xml:space="preserve"> - 00104 - Holding - SP</t>
  </si>
  <si>
    <t>Sem prazo definido</t>
  </si>
  <si>
    <t>Devolução Nota Fiscal de Entrada</t>
  </si>
  <si>
    <t>Alexandre Cavalcante Dias Junior</t>
  </si>
  <si>
    <t>24 Maio, 2024 - Alexandre Cavalcante Dias Junior</t>
  </si>
  <si>
    <t>Desde 12/06/2024 15:58:04</t>
  </si>
  <si>
    <t>EMERGENCIAL - 2024/06/06-NOB - Ondina</t>
  </si>
  <si>
    <t>Até 14/06/2024 09:58:49</t>
  </si>
  <si>
    <t>Barbara de Oliveira Souza Aredes</t>
  </si>
  <si>
    <t>2024/06/07 - N - CTTB</t>
  </si>
  <si>
    <t>Até 17/06/2024 09:24:27</t>
  </si>
  <si>
    <t>Desde 12/06/2024 14:57:38</t>
  </si>
  <si>
    <t>Fernanda Gabrielle de Oliveira Rabello Vasconcelos</t>
  </si>
  <si>
    <t>2024/06/10 - N - Oncobio</t>
  </si>
  <si>
    <t>Desde 13/06/2024 14:10:26</t>
  </si>
  <si>
    <t>Jessica Pinto Fernandes</t>
  </si>
  <si>
    <t>10 Junho, 2024 - Jessica Pinto Fernandes</t>
  </si>
  <si>
    <t>Até 14/06/2024 11:18:43</t>
  </si>
  <si>
    <t>Alinson Saikoski Delavechia</t>
  </si>
  <si>
    <t>2024/06/14 - Kaplan Matriz</t>
  </si>
  <si>
    <t>Até 14/06/2024 11:59:32</t>
  </si>
  <si>
    <t>2024/06/14 - 09101 - Kaplan Matriz</t>
  </si>
  <si>
    <t>Até 14/06/2024 14:00:00</t>
  </si>
  <si>
    <t>Sandra Suzana Aiko Abe Fumi Wu</t>
  </si>
  <si>
    <t>2024/06/20 - 01001 - CPO SP - Faria Lima (10º andar)</t>
  </si>
  <si>
    <t>Desde 13/06/2024 17:32:17</t>
  </si>
  <si>
    <t>Até 14/06/2024 12:00:00</t>
  </si>
  <si>
    <t>2024/06/14 - Kaplan - Vitta</t>
  </si>
  <si>
    <t>2024/06/14 - Kaplan - Canoas</t>
  </si>
  <si>
    <t>2024/06/20 - ICB - Pátio Capital</t>
  </si>
  <si>
    <t>Até 14/06/2024 08:43:28</t>
  </si>
  <si>
    <t>Até 14/06/2024 08:43:54</t>
  </si>
  <si>
    <t>Até 14/06/2024 08:44:12</t>
  </si>
  <si>
    <t>Até 14/06/2024 08:44:29</t>
  </si>
  <si>
    <t>Até 14/06/2024 08:44:47</t>
  </si>
  <si>
    <t>Até 14/06/2024 08:45:06</t>
  </si>
  <si>
    <t>Até 14/06/2024 08:45:26</t>
  </si>
  <si>
    <t>Até 14/06/2024 08:45:49</t>
  </si>
  <si>
    <t>Até 14/06/2024 08:46:07</t>
  </si>
  <si>
    <t>Até 14/06/2024 08:46:26</t>
  </si>
  <si>
    <t>Desde 13/06/2024 17:32:21</t>
  </si>
  <si>
    <t>2024/06/19 - CTTB</t>
  </si>
  <si>
    <t>Desde 13/06/2024 17:00:00</t>
  </si>
  <si>
    <t>Flavia Roberta Zamforlin Boscachi</t>
  </si>
  <si>
    <t>2024/06/20 - CORP</t>
  </si>
  <si>
    <t>Desde 13/06/2024 16:22:47</t>
  </si>
  <si>
    <t>Desde 13/06/2024 16:23:21</t>
  </si>
  <si>
    <t>2024/06/17 - Onco Care Prudente</t>
  </si>
  <si>
    <t>Desde 13/06/2024 16:23:42</t>
  </si>
  <si>
    <t>Herbert de Souza dos Santos</t>
  </si>
  <si>
    <t>2024/07/04 - 00110 - Oncoclinicas (Ceon)</t>
  </si>
  <si>
    <t>Até 14/06/2024 10:28:27</t>
  </si>
  <si>
    <t>Anderlucia Jorge Alves Ramalho</t>
  </si>
  <si>
    <t>2024/06/17 - INORP</t>
  </si>
  <si>
    <t>Desde 13/06/2024 17:17:15</t>
  </si>
  <si>
    <t>Desde 13/06/2024 17:19:01</t>
  </si>
  <si>
    <t>Desde 13/06/2024 17:20:34</t>
  </si>
  <si>
    <t>Desde 13/06/2024 17:22:27</t>
  </si>
  <si>
    <t>2024/04/15 - 01001 - CPO SP - Faria Lima (10º andar)</t>
  </si>
  <si>
    <t>Até 14/06/2024 10:22:41</t>
  </si>
  <si>
    <t>2024/06/14 - CPO SP - Faria Lima (10º andar)</t>
  </si>
  <si>
    <t>Até 14/06/2024 09:35:52</t>
  </si>
  <si>
    <t>2024/06/17 - CPO SP - Faria Lima (10º andar)</t>
  </si>
  <si>
    <t>Até 14/06/2024 09:22:02</t>
  </si>
  <si>
    <t>Até 14/06/2024 09:22:01</t>
  </si>
  <si>
    <t>Até 14/06/2024 09:37:22</t>
  </si>
  <si>
    <t>Até 14/06/2024 09:38:52</t>
  </si>
  <si>
    <t>Até 14/06/2024 09:40:08</t>
  </si>
  <si>
    <t>Até 14/06/2024 09:41:51</t>
  </si>
  <si>
    <t>Até 14/06/2024 09:43:30</t>
  </si>
  <si>
    <t>Até 14/06/2024 09:45:18</t>
  </si>
  <si>
    <t>Até 14/06/2024 09:47:20</t>
  </si>
  <si>
    <t>Até 14/06/2024 09:49:35</t>
  </si>
  <si>
    <t>Até 14/06/2024 09:52:05</t>
  </si>
  <si>
    <t>Até 14/06/2024 09:53:59</t>
  </si>
  <si>
    <t>Até 14/06/2024 09:55:38</t>
  </si>
  <si>
    <t>Até 14/06/2024 09:57:22</t>
  </si>
  <si>
    <t>Até 14/06/2024 09:59:03</t>
  </si>
  <si>
    <t>Até 14/06/2024 10:00:25</t>
  </si>
  <si>
    <t>Até 14/06/2024 09:22:19</t>
  </si>
  <si>
    <t>Viviane Maria Gomes</t>
  </si>
  <si>
    <t>2024/06/19 - CEP - CENTRO PERNAMBUCANO DE ONCOLOGIA</t>
  </si>
  <si>
    <t>Desde 13/06/2024 17:50:03</t>
  </si>
  <si>
    <t>Até 14/06/2024 09:22:22</t>
  </si>
  <si>
    <t>Até 14/06/2024 10:01:50</t>
  </si>
  <si>
    <t>Até 14/06/2024 10:03:07</t>
  </si>
  <si>
    <t>Até 14/06/2024 10:04:21</t>
  </si>
  <si>
    <t>Até 14/06/2024 10:06:35</t>
  </si>
  <si>
    <t>Até 14/06/2024 10:07:51</t>
  </si>
  <si>
    <t>Até 14/06/2024 10:09:22</t>
  </si>
  <si>
    <t>Até 14/06/2024 10:11:19</t>
  </si>
  <si>
    <t>Até 14/06/2024 10:14:05</t>
  </si>
  <si>
    <t>Até 14/06/2024 10:16:03</t>
  </si>
  <si>
    <t>Até 14/06/2024 10:17:43</t>
  </si>
  <si>
    <t>Até 14/06/2024 09:23:27</t>
  </si>
  <si>
    <t>Até 14/06/2024 10:21:54</t>
  </si>
  <si>
    <t>Até 14/06/2024 10:23:18</t>
  </si>
  <si>
    <t>Até 14/06/2024 09:23:31</t>
  </si>
  <si>
    <t>Até 14/06/2024 10:24:26</t>
  </si>
  <si>
    <t>Até 14/06/2024 10:26:04</t>
  </si>
  <si>
    <t>2024/06/20 - 05701 - Leste Fluminense - Matriz</t>
  </si>
  <si>
    <t>Até 14/06/2024 10:05:21</t>
  </si>
  <si>
    <t>Até 14/06/2024 09:23:42</t>
  </si>
  <si>
    <t>13 Junho, 2024 - Milena Dos Santos Costa Vilela</t>
  </si>
  <si>
    <t>Desde 13/06/2024 16:36:29</t>
  </si>
  <si>
    <t>Até 14/06/2024 10:30:48</t>
  </si>
  <si>
    <t>Até 14/06/2024 10:12:22</t>
  </si>
  <si>
    <t>Até 14/06/2024 10:19:08</t>
  </si>
  <si>
    <t>Até 14/06/2024 10:23:02</t>
  </si>
  <si>
    <t>Até 14/06/2024 10:33:34</t>
  </si>
  <si>
    <t>Até 14/06/2024 16:45:45</t>
  </si>
  <si>
    <t>Até 14/06/2024 10:35:02</t>
  </si>
  <si>
    <t>Cristiane da Silva Nunes</t>
  </si>
  <si>
    <t>2024/06/18 - Leste Fluminense - Matriz</t>
  </si>
  <si>
    <t>Até 14/06/2024 10:38:23</t>
  </si>
  <si>
    <t>Até 14/06/2024 10:35:51</t>
  </si>
  <si>
    <t>Até 14/06/2024 10:39:55</t>
  </si>
  <si>
    <t>Até 14/06/2024 10:41:51</t>
  </si>
  <si>
    <t>Até 14/06/2024 10:12:34</t>
  </si>
  <si>
    <t>Até 14/06/2024 10:13:14</t>
  </si>
  <si>
    <t>Até 14/06/2024 10:14:09</t>
  </si>
  <si>
    <t>Até 14/06/2024 10:14:49</t>
  </si>
  <si>
    <t>Até 14/06/2024 10:16:51</t>
  </si>
  <si>
    <t>Até 14/06/2024 10:17:07</t>
  </si>
  <si>
    <t>Até 14/06/2024 10:17:49</t>
  </si>
  <si>
    <t>Até 14/06/2024 10:18:09</t>
  </si>
  <si>
    <t>Até 14/06/2024 10:18:29</t>
  </si>
  <si>
    <t>Até 14/06/2024 10:18:47</t>
  </si>
  <si>
    <t>Até 14/06/2024 10:19:06</t>
  </si>
  <si>
    <t>Até 14/06/2024 10:19:25</t>
  </si>
  <si>
    <t>Até 14/06/2024 10:15:15</t>
  </si>
  <si>
    <t>Até 14/06/2024 10:31:02</t>
  </si>
  <si>
    <t>Até 14/06/2024 11:09:30</t>
  </si>
  <si>
    <t>Debora Tebaldi Ferreira</t>
  </si>
  <si>
    <t>2024/06/18 - RT Mirante</t>
  </si>
  <si>
    <t>Até 14/06/2024 11:49:08</t>
  </si>
  <si>
    <t>2024/06/20 - ICB - OSM</t>
  </si>
  <si>
    <t>Medição de Contratos</t>
  </si>
  <si>
    <t>Tratativa Medição</t>
  </si>
  <si>
    <t>Para o Grupo CSO - Central de Notas com Vinculação Ábax</t>
  </si>
  <si>
    <t>2024/06/17 - N - 06801 - UGF - Florianópolis</t>
  </si>
  <si>
    <t>Desde 13/06/2024 13:50:15</t>
  </si>
  <si>
    <t>2024/06/07 - N - 10001 - IRV</t>
  </si>
  <si>
    <t>Tratativa Erro Medição</t>
  </si>
  <si>
    <t>Manuela Krause DOliveira</t>
  </si>
  <si>
    <t>2024/06/10 - N - 09102 - Kaplan - Vitta</t>
  </si>
  <si>
    <t>Até 14/06/2024 11:55:23</t>
  </si>
  <si>
    <t>2024/06/11 - N - 09102 - Kaplan - Vitta</t>
  </si>
  <si>
    <t>Até 14/06/2024 11:56:00</t>
  </si>
  <si>
    <t>Até 14/06/2024 11:56:49</t>
  </si>
  <si>
    <t>Adriano Medeiros Fontes</t>
  </si>
  <si>
    <t>2024/06/19 - N - 04801 - CTTB</t>
  </si>
  <si>
    <t>CAROLINE SILVESTRE BATISTA</t>
  </si>
  <si>
    <t>2024/07/05 - N - 08001 - GMN</t>
  </si>
  <si>
    <t>Desde 13/06/2024 15:25:08</t>
  </si>
  <si>
    <t>2024/06/28 - N - 07301 - Hospital Doutor Marcos Moraes</t>
  </si>
  <si>
    <t>Desde 13/06/2024 14:33:22</t>
  </si>
  <si>
    <t>2024/07/05 - N - 07603 - CAM LAURO DE FREITAS</t>
  </si>
  <si>
    <t>Desde 13/06/2024 15:55:45</t>
  </si>
  <si>
    <t>Até 14/06/2024 09:27:03</t>
  </si>
  <si>
    <t>2024/07/10 - N - 07602 - CAM ITAIGARA</t>
  </si>
  <si>
    <t>Desde 13/06/2024 17:43:48</t>
  </si>
  <si>
    <t>2024/07/01 - N - 07601 - CAM CANELA</t>
  </si>
  <si>
    <t>Até 14/06/2024 09:28:43</t>
  </si>
  <si>
    <t>Marcio Almeida dos Santos</t>
  </si>
  <si>
    <t>2024/06/17 - N - 04801 - CTTB</t>
  </si>
  <si>
    <t>Desde 13/06/2024 14:25:44</t>
  </si>
  <si>
    <t>Desde 13/06/2024 14:24:51</t>
  </si>
  <si>
    <t>2024/07/10 - N - 07401 - UMC - UBERLANDIA MEDICAL CENTER</t>
  </si>
  <si>
    <t>Desde 13/06/2024 14:20:35</t>
  </si>
  <si>
    <t>Classificação Manual</t>
  </si>
  <si>
    <t>2024/07/10 - N - 01101 - RT Botafogo</t>
  </si>
  <si>
    <t>Desde 13/06/2024 14:55:30</t>
  </si>
  <si>
    <t>2024/07/04 - N - 00104 - Holding - SP</t>
  </si>
  <si>
    <t>Desde 13/06/2024 16:09:43</t>
  </si>
  <si>
    <t>Carolina Almeida Pereira</t>
  </si>
  <si>
    <t>2024/06/21 - N - 03901 - Idengene</t>
  </si>
  <si>
    <t>Desde 13/06/2024 14:37:49</t>
  </si>
  <si>
    <t>2024/07/03 - N - 01010 - CPO Zona Leste</t>
  </si>
  <si>
    <t>Desde 13/06/2024 16:31:47</t>
  </si>
  <si>
    <t>2024/07/01 - N - 07602 - CAM ITAIGARA</t>
  </si>
  <si>
    <t>Até 14/06/2024 08:10:18</t>
  </si>
  <si>
    <t>2024/06/18 - N - 09601 - CEP - CENTRO PERNAMBUCANO DE ONCOLOGIA</t>
  </si>
  <si>
    <t>Eric Fonseca</t>
  </si>
  <si>
    <t>2024/06/17 - N - 06201 - Locus Patologia</t>
  </si>
  <si>
    <t>Até 14/06/2024 11:23:34</t>
  </si>
  <si>
    <t>Fabio Felipe Marcelino  Luz</t>
  </si>
  <si>
    <t>2024/06/25 - N - 05501 - PRO ONCO LONDRINA</t>
  </si>
  <si>
    <t>Desde 13/06/2024 13:49:58</t>
  </si>
  <si>
    <t>Desde 13/06/2024 13:54:55</t>
  </si>
  <si>
    <t>2024/07/25 - N - 05501 - PRO ONCO LONDRINA</t>
  </si>
  <si>
    <t>Desde 13/06/2024 14:11:20</t>
  </si>
  <si>
    <t>Desde 13/06/2024 14:49:10</t>
  </si>
  <si>
    <t>2024/06/18 - N - 05501 - PRO ONCO LONDRINA</t>
  </si>
  <si>
    <t>Desde 13/06/2024 15:15:56</t>
  </si>
  <si>
    <t>2024/07/04 - N - 04801 - CTTB</t>
  </si>
  <si>
    <t>Desde 13/06/2024 14:17:10</t>
  </si>
  <si>
    <t>Até 14/06/2024 11:37:01</t>
  </si>
  <si>
    <t>Taynara Garcia Oliveira</t>
  </si>
  <si>
    <t>2024/07/05 - N - 08401 - UMC IMAGEM</t>
  </si>
  <si>
    <t>2024/06/17 - N - 08601 - ICB - Pátio Capital</t>
  </si>
  <si>
    <t>Alisson Rodrigues De Freitas</t>
  </si>
  <si>
    <t>2024/07/03 - N - 08501 - ICT Matriz</t>
  </si>
  <si>
    <t>Até 14/06/2024 10:07:48</t>
  </si>
  <si>
    <t>Maria Paula Diniz Santos</t>
  </si>
  <si>
    <t>2024/06/28 - N - 08001 - GMN</t>
  </si>
  <si>
    <t>Para o Grupo CSO - Fiscal</t>
  </si>
  <si>
    <t>00105 - CITOPHARMA MANIPULACAO DE MEDICAMENTOS ESPECIAIS LTDA</t>
  </si>
  <si>
    <t>03/04/2024</t>
  </si>
  <si>
    <t>Desde 13/06/2024 08:45:07</t>
  </si>
  <si>
    <t xml:space="preserve">07602 - </t>
  </si>
  <si>
    <t>Até 14/06/2024 15:04:36</t>
  </si>
  <si>
    <t>Karolina Rosa Teofilo</t>
  </si>
  <si>
    <t>N - 02201 - CECON - Serviço</t>
  </si>
  <si>
    <t>Simone Franco De Moraes</t>
  </si>
  <si>
    <t>N - 01011 - CPO Zona Oeste - Material</t>
  </si>
  <si>
    <t>N - 01009 - CPO ABC - Serviço</t>
  </si>
  <si>
    <t>Desde 10/06/2024 17:33:03</t>
  </si>
  <si>
    <t xml:space="preserve">02701 - </t>
  </si>
  <si>
    <t>Desde 13/06/2024 11:32:16</t>
  </si>
  <si>
    <t>Desde 13/06/2024 11:38:08</t>
  </si>
  <si>
    <t>Desde 13/06/2024 13:41:53</t>
  </si>
  <si>
    <t>Alan Cleverson de Souza Duarte</t>
  </si>
  <si>
    <t>N - 07301 - Hospital Doutor Marcos Moraes - Serviço</t>
  </si>
  <si>
    <t>07602 - IDIANE DIOVANA CRUZ DE JESUS</t>
  </si>
  <si>
    <t>Até 14/06/2024 14:58:32</t>
  </si>
  <si>
    <t>05401 - OLHO VIVO SEGURANCA ELETRONICA LTDA</t>
  </si>
  <si>
    <t>Desde 13/06/2024 16:16:27</t>
  </si>
  <si>
    <t>Desde 11/06/2024 17:17:55</t>
  </si>
  <si>
    <t>05401 - BIO PROLAB LABORATORIO DE CONTROLE DE QUALIDADE LTDA</t>
  </si>
  <si>
    <t>Desde 13/06/2024 16:34:06</t>
  </si>
  <si>
    <t>Desde 11/06/2024 08:46:03</t>
  </si>
  <si>
    <t>Desde 11/06/2024 10:12:04</t>
  </si>
  <si>
    <t>Desde 11/06/2024 11:49:03</t>
  </si>
  <si>
    <t>Desde 11/06/2024 16:54:04</t>
  </si>
  <si>
    <t>Desde 11/06/2024 16:49:25</t>
  </si>
  <si>
    <t>Desde 12/06/2024 14:45:32</t>
  </si>
  <si>
    <t>Desde 11/06/2024 17:30:36</t>
  </si>
  <si>
    <t>00104 - SASI - SERVICO DE ANESTESIA SANTA IZABEL LTDA</t>
  </si>
  <si>
    <t>Desde 13/06/2024 15:53:33</t>
  </si>
  <si>
    <t>07401 - MEDTEC - SUPRIMENTOS MEDICO HOSPITALARES LTDA</t>
  </si>
  <si>
    <t>Desde 13/06/2024 17:42:59</t>
  </si>
  <si>
    <t>N - 00105 - Oncocentro - BH - Material</t>
  </si>
  <si>
    <t>Para o Grupo CSO - Fiscal (Documento Fiscal)</t>
  </si>
  <si>
    <t>Até 14/06/2024 16:05:37</t>
  </si>
  <si>
    <t>Desde 03/04/2024 18:00:00</t>
  </si>
  <si>
    <t>Desde 13/06/2024 13:49:37</t>
  </si>
  <si>
    <t>Rafael Dener Souza da Silva</t>
  </si>
  <si>
    <t>Solução de Inconsistência Classificar Pre Nota</t>
  </si>
  <si>
    <t>13 Junho, 2024 - Kathleen Monique Borges Figueiroa</t>
  </si>
  <si>
    <t>Até 14/06/2024 15:46:11</t>
  </si>
  <si>
    <t>Desde 12/06/2024 08:09:56</t>
  </si>
  <si>
    <t>12 Junho, 2024 - Washington Mota De Oliveira</t>
  </si>
  <si>
    <t>Até 17/06/2024 08:05:21</t>
  </si>
  <si>
    <t>Até 17/06/2024 08:07:06</t>
  </si>
  <si>
    <t>Até 14/06/2024 16:57:29</t>
  </si>
  <si>
    <t>Patricia Campos Silveira</t>
  </si>
  <si>
    <t>13 Junho, 2024 - Sabrina Coimbra e Silva Marcos</t>
  </si>
  <si>
    <t>Até 14/06/2024 16:46:12</t>
  </si>
  <si>
    <t>12 Junho, 2024 - Sabrina Coimbra e Silva Marcos</t>
  </si>
  <si>
    <t>Desde 03/06/2024 14:00:00</t>
  </si>
  <si>
    <t>23 Maio, 2024 - Thiago Fernandes Costa</t>
  </si>
  <si>
    <t>23/05/2024</t>
  </si>
  <si>
    <t>Até 17/06/2024 14:00:00</t>
  </si>
  <si>
    <t>Até 17/06/2024 09:00:00</t>
  </si>
  <si>
    <t>Até 14/06/2024 16:43:32</t>
  </si>
  <si>
    <t>Desde 13/06/2024 14:54:01</t>
  </si>
  <si>
    <t>Desde 13/06/2024 14:39:27</t>
  </si>
  <si>
    <t>N - NOB - Ondina - Envio de outras remessas</t>
  </si>
  <si>
    <t>Até 14/06/2024 09:10:35</t>
  </si>
  <si>
    <t>Rayanne de Matos Nogueira</t>
  </si>
  <si>
    <t xml:space="preserve">N - Instituto Câncer Manaus - Envio de nota fiscal de devolução Tasy e Diversos </t>
  </si>
  <si>
    <t>Até 17/06/2024 08:49:14</t>
  </si>
  <si>
    <t>Desde 12/06/2024 12:00:00</t>
  </si>
  <si>
    <t>Desde 13/06/2024 09:32:48</t>
  </si>
  <si>
    <t>Desde 13/06/2024 09:56:29</t>
  </si>
  <si>
    <t>6 Junho, 2024 - Drielle Vanessa Caldeira da Rosa</t>
  </si>
  <si>
    <t>Até 17/06/2024 15:22:22</t>
  </si>
  <si>
    <t>Solução de Inconsistência Solicitante</t>
  </si>
  <si>
    <t>12 Junho, 2024 - Lucas Amorim de Sousa Furtado</t>
  </si>
  <si>
    <t>Desde 13/06/2024 09:17:57</t>
  </si>
  <si>
    <t>Desde 13/06/2024 10:47:23</t>
  </si>
  <si>
    <t>Desde 11/06/2024 15:41:41</t>
  </si>
  <si>
    <t>Desde 11/06/2024 16:10:09</t>
  </si>
  <si>
    <t>Desde 11/06/2024 16:24:36</t>
  </si>
  <si>
    <t>Desde 11/06/2024 16:47:59</t>
  </si>
  <si>
    <t>Até 17/06/2024 13:07:19</t>
  </si>
  <si>
    <t>Até 18/06/2024 10:26:20</t>
  </si>
  <si>
    <t>Até 14/06/2024 16:35:22</t>
  </si>
  <si>
    <t>11 Junho, 2024 - CLAIVER ROMEU MACHADO DA SILVA</t>
  </si>
  <si>
    <t>Até 18/06/2024 17:41:57</t>
  </si>
  <si>
    <t>Hiago Martins Batista</t>
  </si>
  <si>
    <t>Até 14/06/2024 08:58:44</t>
  </si>
  <si>
    <t>Até 14/06/2024 09:00:36</t>
  </si>
  <si>
    <t xml:space="preserve">N - ICB - Pátio Capital - Envio de nota fiscal de devolução Tasy e Diversos </t>
  </si>
  <si>
    <t>Até 14/06/2024 10:48:51</t>
  </si>
  <si>
    <t>Vagner Noberto Moreira</t>
  </si>
  <si>
    <t xml:space="preserve">N - Oncocentro - BH - Envio de nota fiscal de devolução Tasy e Diversos </t>
  </si>
  <si>
    <t>Até 14/06/2024 11:01:05</t>
  </si>
  <si>
    <t>Karolina Ingrid Soutos Amancio</t>
  </si>
  <si>
    <t xml:space="preserve">N - NUCLEO DE HEMATOLOGIA E ONCOLOGIA - Envio de nota fiscal de devolução Tasy e Diversos </t>
  </si>
  <si>
    <t>Até 14/06/2024 11:33:50</t>
  </si>
  <si>
    <t>Até 14/06/2024 11:34:43</t>
  </si>
  <si>
    <t>Até 14/06/2024 11:47:39</t>
  </si>
  <si>
    <t>Até 14/06/2024 11:58:56</t>
  </si>
  <si>
    <t xml:space="preserve">N - Hematologica - Matriz - Envio de nota fiscal de devolução Tasy e Diversos </t>
  </si>
  <si>
    <t>Vitor Rodrigues Khatchirian</t>
  </si>
  <si>
    <t xml:space="preserve">N - CPO SP - Faria Lima (10º andar) - Envio de nota fiscal de devolução Tasy e Diversos </t>
  </si>
  <si>
    <t>Até 14/06/2024 13:01:52</t>
  </si>
  <si>
    <t>Até 14/06/2024 13:06:55</t>
  </si>
  <si>
    <t>Até 14/06/2024 13:14:42</t>
  </si>
  <si>
    <t>Até 14/06/2024 13:30:00</t>
  </si>
  <si>
    <t>Até 14/06/2024 13:54:04</t>
  </si>
  <si>
    <t>Até 14/06/2024 14:11:08</t>
  </si>
  <si>
    <t>Até 14/06/2024 14:31:45</t>
  </si>
  <si>
    <t>Até 14/06/2024 14:54:12</t>
  </si>
  <si>
    <t>Daniela Caseiro Soriano Diamante</t>
  </si>
  <si>
    <t>Classificar Pedido de vendas</t>
  </si>
  <si>
    <t>12 Junho, 2024 - Daniela Caseiro Soriano Diamante</t>
  </si>
  <si>
    <t>Até 14/06/2024 16:47:32</t>
  </si>
  <si>
    <t>12 Junho, 2024 - Thiago Fernandes Costa</t>
  </si>
  <si>
    <t>Até 18/06/2024 09:59:21</t>
  </si>
  <si>
    <t>Caroline Moreira Da Cunha</t>
  </si>
  <si>
    <t>Até 17/06/2024 08:01:04</t>
  </si>
  <si>
    <t>Até 17/06/2024 08:50:52</t>
  </si>
  <si>
    <t>13 Junho, 2024 - Marcio Almeida dos Santos</t>
  </si>
  <si>
    <t>Até 17/06/2024 09:58:02</t>
  </si>
  <si>
    <t>Francilio Frasao</t>
  </si>
  <si>
    <t>13 Junho, 2024 - Francilio Frasao</t>
  </si>
  <si>
    <t>Até 17/06/2024 13:23:52</t>
  </si>
  <si>
    <t>Willian Rodrigo Leme</t>
  </si>
  <si>
    <t xml:space="preserve">N - PRO ONCO LONDRINA - Envio de nota fiscal de devolução Tasy e Diversos </t>
  </si>
  <si>
    <t>Até 17/06/2024 13:42:08</t>
  </si>
  <si>
    <t>Até 17/06/2024 13:46:33</t>
  </si>
  <si>
    <t>Até 17/06/2024 13:48:27</t>
  </si>
  <si>
    <t>Até 17/06/2024 13:49:47</t>
  </si>
  <si>
    <t>Até 17/06/2024 13:50:56</t>
  </si>
  <si>
    <t>13 Junho, 2024 - Hiago Martins Batista</t>
  </si>
  <si>
    <t>Até 17/06/2024 14:12:26</t>
  </si>
  <si>
    <t>Até 17/06/2024 14:33:54</t>
  </si>
  <si>
    <t>Até 17/06/2024 14:41:34</t>
  </si>
  <si>
    <t>Até 17/06/2024 14:48:36</t>
  </si>
  <si>
    <t>Até 17/06/2024 14:55:33</t>
  </si>
  <si>
    <t>Até 17/06/2024 15:01:52</t>
  </si>
  <si>
    <t>Até 17/06/2024 15:07:48</t>
  </si>
  <si>
    <t>Até 17/06/2024 15:14:55</t>
  </si>
  <si>
    <t>13 Junho, 2024 - Luciano Ramos da Silva</t>
  </si>
  <si>
    <t>Até 17/06/2024 15:24:28</t>
  </si>
  <si>
    <t>Adiel Henrique Pereira Martins</t>
  </si>
  <si>
    <t>13 Junho, 2024 - Adiel Henrique Pereira Martins</t>
  </si>
  <si>
    <t>Até 17/06/2024 16:56:59</t>
  </si>
  <si>
    <t>AMON TRINDADE E SILVA LOPES DE OLIVEIRA</t>
  </si>
  <si>
    <t>13 Junho, 2024 - AMON TRINDADE E SILVA LOPES DE OLIVEIRA</t>
  </si>
  <si>
    <t>Até 17/06/2024 17:22:24</t>
  </si>
  <si>
    <t>13 Junho, 2024 - Lucas Amorim de Sousa Furtado</t>
  </si>
  <si>
    <t>Até 17/06/2024 17:27:34</t>
  </si>
  <si>
    <t>Até 17/06/2024 17:44:59</t>
  </si>
  <si>
    <t>Analisar - Erro de Integração de Documento de Entrada</t>
  </si>
  <si>
    <t>MATLAB REPRESENTACAO COMERCIAL LTDA</t>
  </si>
  <si>
    <t>PADARIA E CONFEITARIA SANTA COMBADAO LTDA</t>
  </si>
  <si>
    <t>RADIOTERAPIA ONCOCLINICAS RIO DE JANEIRO LTDA</t>
  </si>
  <si>
    <t>HARUS IND E COMERCIO DE COSMETICOS LTDA</t>
  </si>
  <si>
    <t>Sidney De Araujo Serralheiro</t>
  </si>
  <si>
    <t>CHB-INDUSTRIAS SERVICOS E REPRESENTACOES LTDA - ME</t>
  </si>
  <si>
    <t xml:space="preserve">TOP VIDROS 10 INSTALACOES LTDA                                                                      </t>
  </si>
  <si>
    <t>16/06/2024</t>
  </si>
  <si>
    <t>HEART SERVICE</t>
  </si>
  <si>
    <t>FLUXO AIR</t>
  </si>
  <si>
    <t>LATINA PROJETOS CIVIS E ASSOCIADOS LTDA</t>
  </si>
  <si>
    <t>MULTIBLOCO IND E COM DE ARTFS DE CONCRETO LTDA</t>
  </si>
  <si>
    <t xml:space="preserve">EBS-IT CONSULTORIA EM INFORMATICA LTDA	</t>
  </si>
  <si>
    <t>LAMINADOS JAPERI INDUSTRIAL LTDA</t>
  </si>
  <si>
    <t>ARTES GRAFICAS FORMATO LTDA</t>
  </si>
  <si>
    <t>AF FIGUEIREDO - PALESTRAS, CURSOS E CONGRESSOS LTDA</t>
  </si>
  <si>
    <t>REFRIO REFRIGERACAO LTDA</t>
  </si>
  <si>
    <t>CANTO DO VINHO COMERCIO DE ALIMENTOS LTDA</t>
  </si>
  <si>
    <t>TETRA ACESSORIOS PARA SERRALHEIROS LTDA - ME</t>
  </si>
  <si>
    <t>SOARES ESTACIONAMENTO E HOTELARIA LTDA</t>
  </si>
  <si>
    <t xml:space="preserve">IMAM - INSTITUTO DE MAMA DO AMAZONAS LTDA	</t>
  </si>
  <si>
    <t>DALLAS SERVICOS ADMINISTRATIVOS E INCORPORACOES LTDA</t>
  </si>
  <si>
    <t>LOGGO SOLUCOES LOGISTICAS</t>
  </si>
  <si>
    <t>ESTERILIZE PRESTACAO DE SERVICOS DE ESTERILIZACAO LTDA-EPP</t>
  </si>
  <si>
    <t>IDENTIFICACAO DO EMITENTE CASA DO PAO LTDA</t>
  </si>
  <si>
    <t>FACILITA SERVICOS DE APOIO ADMINISTRATIVO E DESPACHANTE</t>
  </si>
  <si>
    <t>FLORES  MIRANDA LTDA</t>
  </si>
  <si>
    <t>PAPELARIA CECILIANA LTDA</t>
  </si>
  <si>
    <t>VINICIO KALID ADVOCACIA EMPRESARIAL</t>
  </si>
  <si>
    <t>DEL MIRANDA SERVICOS ADMINISTRATIVOS LTDA</t>
  </si>
  <si>
    <t>BAIKAL ONCOLOGIA E PARTICIPACOES S.A.</t>
  </si>
  <si>
    <t>PRO-RAD CONSULTORES EM RADIOPROTECAO S/S LTDA</t>
  </si>
  <si>
    <t>A ALLI NETO GENETICA ME</t>
  </si>
  <si>
    <t xml:space="preserve">TRUST MEDIA CONSULTORIA LTDA	</t>
  </si>
  <si>
    <t>PUZZLE SOLUCOES DIG LTDA EPP</t>
  </si>
  <si>
    <t>MONDRI COMERCIO E SERVICOS LTDA</t>
  </si>
  <si>
    <t>MAIS SAUDE ATENDIMENTO DOMICILIAR LTDA</t>
  </si>
  <si>
    <t>PAPELARIA CELESTE LTDA</t>
  </si>
  <si>
    <t>OUROMED SERVICO MOVEL DE SAUDE LTDA</t>
  </si>
  <si>
    <t>MRB EXPRESS EIRELI</t>
  </si>
  <si>
    <t>WAY - AGENCIA DE PRODUCAO LTDA</t>
  </si>
  <si>
    <t>PATOLOGIA CLINICA SAO PAULO LTDA</t>
  </si>
  <si>
    <t>RADIOTERAPIA BOTAFOGO S.A</t>
  </si>
  <si>
    <t>IN-HAUS INDUSTRIAL E SERVICOS DE LOGISTICA LTDA</t>
  </si>
  <si>
    <t xml:space="preserve">BEE IT TECNOLOGIA EM SAUDE LTDA	</t>
  </si>
  <si>
    <t>A3 SOLUCOES GRAFICAS LTDA.</t>
  </si>
  <si>
    <t>54.710.734 JEFFERSON ALBERNAZ RESENDE</t>
  </si>
  <si>
    <t>DISTRIBUIR COMERCIO EIRELI</t>
  </si>
  <si>
    <t xml:space="preserve">INCINERA TRATAMENTO DE RESIDUOS LTDA	</t>
  </si>
  <si>
    <t>SUMEDICAL MANUTENCAO EM SERVICOS MEDICOS LTDA</t>
  </si>
  <si>
    <t>MY BALLOON ARTIGOS PARA FESTA LTDA</t>
  </si>
  <si>
    <t>TROVAO AZUL EXPRESSO LTDA - ME</t>
  </si>
  <si>
    <t>BRASMEDICAL INDUSTRIA E COMERCIO DE PRODUTOS PARA SAUDE LTDA</t>
  </si>
  <si>
    <t>PANIFICADORA E CONFEITARIA BOMTEMPO E FLAVIO LTDA</t>
  </si>
  <si>
    <t>MESSER GASES LTDA</t>
  </si>
  <si>
    <t>BAKTRON MICROBIOLOGIA LTDA</t>
  </si>
  <si>
    <t>ONCOCLINICAS CEON</t>
  </si>
  <si>
    <t>DDTEC DEDETIZADORA LTDA</t>
  </si>
  <si>
    <t xml:space="preserve">ASCITECH SOLUCOES EM TECNOLOGIA LTDA	</t>
  </si>
  <si>
    <t>PHABRICA DE IDEIAS MARKETING GLOBAL S/S LTDA - EPP</t>
  </si>
  <si>
    <t>BRAIN SET ENGENHARIA E COMERCIO LTDA</t>
  </si>
  <si>
    <t>GRÁFICA STORINO LTDA</t>
  </si>
  <si>
    <t>SUATV SINALIZACAO DIGITAL LTDA</t>
  </si>
  <si>
    <t>DISTRIBUIDORA DE BEBIDAS ESCALADA LTDA - ME</t>
  </si>
  <si>
    <t>CENTRO PAULISTA DE ONCOLOGIA S.A. CPO ZONA LESTE</t>
  </si>
  <si>
    <t>Sabia Grupo Gerador Ltda Me</t>
  </si>
  <si>
    <t>RICARDO BAJUR ELETRONICA LTDA</t>
  </si>
  <si>
    <t>MT SERVICOS DE ENGENHARIA BIOMEDICA LTDA</t>
  </si>
  <si>
    <t>CENOTECH SERVICOS E COMERCIO DE INFORMATICA LTDA</t>
  </si>
  <si>
    <t>PRINT PAPER EDITORA GRAFICA LTDA - ME</t>
  </si>
  <si>
    <t>OFFICE-A COMERCIO DE MOVEIS LTDA</t>
  </si>
  <si>
    <t>VIDA E SAUDE DISTRIBUIDORA LTDA</t>
  </si>
  <si>
    <t>CORPVS - CORPO DE VIGILANTES PARTICULARES LTDA</t>
  </si>
  <si>
    <t>OSTEO - CENTRO DE DIAGNOSTICO DA OSTEOPOROSE LTDA</t>
  </si>
  <si>
    <t>PROVISUAL GRAFICA E EDITORA LTDA ME</t>
  </si>
  <si>
    <t xml:space="preserve">A A A DEDETIZACAO INSETAN LTDA - EPP	</t>
  </si>
  <si>
    <t>PRAXXIS - CONTROLE INTEGRADO DE PRAGAS LTDA.</t>
  </si>
  <si>
    <t>AERODUTO ARCONDICIONADO LTDA</t>
  </si>
  <si>
    <t>Analisar - Erro - Encerramento da Medição</t>
  </si>
  <si>
    <t>IMPRIMASET LTDA.</t>
  </si>
  <si>
    <t xml:space="preserve">SIEMENS HEALTHCARE DIAGNOSTICOS LTDA.	</t>
  </si>
  <si>
    <t>30/07/2024</t>
  </si>
  <si>
    <t>CARDIOMOBILE CARDIOLOGIA MOVEL LTDA</t>
  </si>
  <si>
    <t>Made in Natural Comercio de Alimentos e Produtos Ecologicos</t>
  </si>
  <si>
    <t>ARCONTEMP AR CONDICIONADO E ELETRICA LTDA</t>
  </si>
  <si>
    <t xml:space="preserve">ACTIVIT TECNOLOGIA LTDA	</t>
  </si>
  <si>
    <t>MEC TOCA PAPELARIA E INFORMATICA LTDA</t>
  </si>
  <si>
    <t>09/07/2024</t>
  </si>
  <si>
    <t>PEDRO LAGE DE OLIVEIRA ANDRADE 11348030607</t>
  </si>
  <si>
    <t>TK ELEVADORES BRASIL LTDA</t>
  </si>
  <si>
    <t>VSG TECNOLOGIA E SERVICOS LTDA</t>
  </si>
  <si>
    <t>PRESTUS LTDA - ME</t>
  </si>
  <si>
    <t>JL8 ARTES GRAFICAS LTDA</t>
  </si>
  <si>
    <t>22/06/2024</t>
  </si>
  <si>
    <t>ATMOSTEC IND. COM. E LOC. DE EQUIPAMENTOS ELETROELETRONICOS EIRELI</t>
  </si>
  <si>
    <t>STEFANINI CONSULTORIA E ASSESSORIA EM INFORMATICA S/A</t>
  </si>
  <si>
    <t>TOTVS LARGE ENTERPRISE TECNOLOGIA S.A.</t>
  </si>
  <si>
    <t>14/07/2024</t>
  </si>
  <si>
    <t>PMC PERICIAS MEDICAS CIENTIFICAS S/S LTDA</t>
  </si>
  <si>
    <t>08/08/2024</t>
  </si>
  <si>
    <t>TOTVS S.A.</t>
  </si>
  <si>
    <t>GE HEALTHCARE DO BRASIL COMERCIO E SERVICOS PARA EQUIPAMENTOS MEDICO-HOSPITALARES LTDA</t>
  </si>
  <si>
    <t>HUB DE SOLUCOES E RESULTADOS PARA A CONSTRUCAO CIVIL LTDA</t>
  </si>
  <si>
    <t>P. V. ESTAMPARIA E COMERCIO EIRELI -</t>
  </si>
  <si>
    <t>BMAC COMERCIO E SERVICOS LTDA</t>
  </si>
  <si>
    <t>ECOAR AR CONDICIONADO LTDA</t>
  </si>
  <si>
    <t>NACIONAL COMERCIAL HOSPITALAR LTDA</t>
  </si>
  <si>
    <t>DM COMERCIO DE FORROS E DIVISORIAS - EIRELI</t>
  </si>
  <si>
    <t>KNAUF DO BRASIL</t>
  </si>
  <si>
    <t>PSICOBOX INDUSTRIA E COMERCIO EIRELI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</si>
</sst>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9"/>
      <name val="Calibri"/>
    </font>
    <font>
      <b/>
      <sz val="11"/>
      <color theme="1"/>
      <name val="Calibri"/>
      <family val="2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6A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bgColor indexed="8"/>
      </patternFill>
    </fill>
    <fill>
      <patternFill patternType="solid">
        <fgColor rgb="FFFFFF00"/>
        <bgColor indexed="8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8">
    <xf numFmtId="0" fontId="0" fillId="0" borderId="0" xfId="0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14" fontId="0" fillId="0" borderId="0" xfId="0" applyNumberFormat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0" fillId="0" borderId="0" xfId="0" pivotButton="1"/>
    <xf numFmtId="14" fontId="4" fillId="5" borderId="0" xfId="0" applyNumberFormat="1" applyFont="1" applyFill="1" applyAlignment="1">
      <alignment horizontal="center"/>
    </xf>
    <xf numFmtId="14" fontId="0" fillId="0" borderId="0" xfId="0" applyNumberFormat="1"/>
    <xf numFmtId="0" fontId="5" fillId="6" borderId="0" xfId="0" applyFont="1" applyFill="1" applyAlignment="1">
      <alignment horizontal="left"/>
    </xf>
    <xf numFmtId="164" fontId="5" fillId="6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3" xfId="0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2" xfId="0" applyNumberFormat="1" applyBorder="1" applyAlignment="1">
      <alignment horizontal="left"/>
    </xf>
    <xf numFmtId="0" fontId="4" fillId="5" borderId="0" xfId="0" applyFont="1" applyFill="1" applyAlignment="1">
      <alignment horizontal="left"/>
    </xf>
    <xf numFmtId="0" fontId="0" fillId="0" borderId="3" xfId="0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</cellXfs>
  <cellStyles count="2">
    <cellStyle name="Normal" xfId="0" builtinId="0"/>
    <cellStyle name="Normal 2" xfId="1" xr:uid="{F4A1BC98-BD55-4DF9-BDD9-E0C1BACC4F62}"/>
  </cellStyles>
  <dxfs count="5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6AD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00B6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[RPA_ACC_PTP_007- Distribuição-de-demandas.xlsm]Dinâmicas!Tabela dinâmica3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Contagem</a:t>
            </a:r>
            <a:r>
              <a:rPr lang="en-US" baseline="0"/>
              <a:t> de chamados em aberto por analista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6A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Dinâmicas!$B$3:$B$4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00B6A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Dinâmicas!$A$5:$A$14</c:f>
              <c:strCache>
                <c:ptCount val="9"/>
                <c:pt idx="0">
                  <c:v>Adrieli</c:v>
                </c:pt>
                <c:pt idx="1">
                  <c:v>Angla</c:v>
                </c:pt>
                <c:pt idx="2">
                  <c:v>Camila</c:v>
                </c:pt>
                <c:pt idx="3">
                  <c:v>Carolina</c:v>
                </c:pt>
                <c:pt idx="4">
                  <c:v>Fabiana</c:v>
                </c:pt>
                <c:pt idx="5">
                  <c:v>Fernanda</c:v>
                </c:pt>
                <c:pt idx="6">
                  <c:v>Isabela Correia</c:v>
                </c:pt>
                <c:pt idx="7">
                  <c:v>Pamela</c:v>
                </c:pt>
                <c:pt idx="8">
                  <c:v>Vinicius</c:v>
                </c:pt>
              </c:strCache>
            </c:strRef>
          </c:cat>
          <c:val>
            <c:numRef>
              <c:f>Dinâmicas!$B$5:$B$14</c:f>
              <c:numCache>
                <c:formatCode>General</c:formatCode>
                <c:ptCount val="9"/>
                <c:pt idx="0">
                  <c:v>209</c:v>
                </c:pt>
                <c:pt idx="1">
                  <c:v>26</c:v>
                </c:pt>
                <c:pt idx="2">
                  <c:v>22</c:v>
                </c:pt>
                <c:pt idx="3">
                  <c:v>119</c:v>
                </c:pt>
                <c:pt idx="4">
                  <c:v>89</c:v>
                </c:pt>
                <c:pt idx="5">
                  <c:v>22</c:v>
                </c:pt>
                <c:pt idx="6">
                  <c:v>21</c:v>
                </c:pt>
                <c:pt idx="7">
                  <c:v>91</c:v>
                </c:pt>
                <c:pt idx="8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D2-4BDC-8642-C3144F7AFB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83549968"/>
        <c:axId val="883548528"/>
      </c:barChart>
      <c:catAx>
        <c:axId val="883549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3548528"/>
        <c:crosses val="autoZero"/>
        <c:auto val="1"/>
        <c:lblAlgn val="ctr"/>
        <c:lblOffset val="100"/>
        <c:noMultiLvlLbl val="0"/>
      </c:catAx>
      <c:valAx>
        <c:axId val="883548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8354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227164887307249"/>
          <c:y val="0.54776542107494297"/>
          <c:w val="0.19756097560975611"/>
          <c:h val="0.222282522005191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[RPA_ACC_PTP_007- Distribuição-de-demandas.xlsm]Dinâmicas!Tabela dinâmica4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Chamados</a:t>
            </a:r>
            <a:r>
              <a:rPr lang="en-US" baseline="0"/>
              <a:t> por origem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6AD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6AD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6AD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Dinâmicas!$H$3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22-44D8-A590-2CA3896A23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22-44D8-A590-2CA3896A23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Dinâmicas!$G$4:$G$6</c:f>
              <c:strCache>
                <c:ptCount val="2"/>
                <c:pt idx="0">
                  <c:v>360</c:v>
                </c:pt>
                <c:pt idx="1">
                  <c:v>Fluig</c:v>
                </c:pt>
              </c:strCache>
            </c:strRef>
          </c:cat>
          <c:val>
            <c:numRef>
              <c:f>Dinâmicas!$H$4:$H$6</c:f>
              <c:numCache>
                <c:formatCode>General</c:formatCode>
                <c:ptCount val="2"/>
                <c:pt idx="0">
                  <c:v>383</c:v>
                </c:pt>
                <c:pt idx="1">
                  <c:v>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22-44D8-A590-2CA3896A234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[RPA_ACC_PTP_007- Distribuição-de-demandas.xlsm]Dinâmicas!Tabela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Contagem</a:t>
            </a:r>
            <a:r>
              <a:rPr lang="pt-BR" baseline="0"/>
              <a:t> de chamados vencidos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Dinâmicas!$H$10:$H$11</c:f>
              <c:strCache>
                <c:ptCount val="1"/>
                <c:pt idx="0">
                  <c:v>-13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Dinâmicas!$G$12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Dinâmicas!$H$12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7-4ADD-9A7F-895B8B788160}"/>
            </c:ext>
          </c:extLst>
        </c:ser>
        <c:ser>
          <c:idx val="1"/>
          <c:order val="1"/>
          <c:tx>
            <c:strRef>
              <c:f>Dinâmicas!$I$10:$I$11</c:f>
              <c:strCache>
                <c:ptCount val="1"/>
                <c:pt idx="0">
                  <c:v>-8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Dinâmicas!$G$12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Dinâmicas!$I$12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7-4ADD-9A7F-895B8B788160}"/>
            </c:ext>
          </c:extLst>
        </c:ser>
        <c:ser>
          <c:idx val="2"/>
          <c:order val="2"/>
          <c:tx>
            <c:strRef>
              <c:f>Dinâmicas!$J$10:$J$11</c:f>
              <c:strCache>
                <c:ptCount val="1"/>
                <c:pt idx="0">
                  <c:v>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Dinâmicas!$G$12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Dinâmicas!$J$12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7-4ADD-9A7F-895B8B788160}"/>
            </c:ext>
          </c:extLst>
        </c:ser>
        <c:ser>
          <c:idx val="3"/>
          <c:order val="3"/>
          <c:tx>
            <c:strRef>
              <c:f>Dinâmicas!$K$10:$K$11</c:f>
              <c:strCache>
                <c:ptCount val="1"/>
                <c:pt idx="0">
                  <c:v>-3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Dinâmicas!$G$12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Dinâmicas!$K$12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27-4ADD-9A7F-895B8B7881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64983152"/>
        <c:axId val="464991312"/>
        <c:axId val="0"/>
      </c:bar3DChart>
      <c:catAx>
        <c:axId val="46498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4991312"/>
        <c:crosses val="autoZero"/>
        <c:auto val="1"/>
        <c:lblAlgn val="ctr"/>
        <c:lblOffset val="100"/>
        <c:noMultiLvlLbl val="0"/>
      </c:catAx>
      <c:valAx>
        <c:axId val="464991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498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966269841269837"/>
          <c:y val="0.32016149023038781"/>
          <c:w val="0.166015625"/>
          <c:h val="0.584748667780163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[RPA_ACC_PTP_007- Distribuição-de-demandas.xlsm]Dinâmicas!Tabela dinâmica5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Contagem de pagamentos médicos vencidos</a:t>
            </a:r>
          </a:p>
        </c:rich>
      </c:tx>
      <c:layout>
        <c:manualLayout>
          <c:xMode val="edge"/>
          <c:yMode val="edge"/>
          <c:x val="0.3168657576339543"/>
          <c:y val="6.7403032954214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6583729221347332"/>
          <c:y val="0.23406969962088073"/>
          <c:w val="0.1136826334208224"/>
          <c:h val="0.65853091280256637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Dinâmicas!$B$22:$B$23</c:f>
              <c:strCache>
                <c:ptCount val="1"/>
                <c:pt idx="0">
                  <c:v>128</c:v>
                </c:pt>
              </c:strCache>
            </c:strRef>
          </c:tx>
          <c:spPr>
            <a:gradFill flip="none" rotWithShape="1"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10800000" scaled="1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Dinâmicas!$A$24:$A$26</c:f>
              <c:strCache>
                <c:ptCount val="2"/>
                <c:pt idx="0">
                  <c:v>Pagamento Médico</c:v>
                </c:pt>
                <c:pt idx="1">
                  <c:v>Pagamento Médico Hospital</c:v>
                </c:pt>
              </c:strCache>
            </c:strRef>
          </c:cat>
          <c:val>
            <c:numRef>
              <c:f>Dinâmicas!$B$24:$B$26</c:f>
              <c:numCache>
                <c:formatCode>General</c:formatCode>
                <c:ptCount val="2"/>
                <c:pt idx="0">
                  <c:v>37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D5-4470-9425-8612B11DF5E7}"/>
            </c:ext>
          </c:extLst>
        </c:ser>
        <c:ser>
          <c:idx val="1"/>
          <c:order val="1"/>
          <c:tx>
            <c:strRef>
              <c:f>Dinâmicas!$C$22:$C$23</c:f>
              <c:strCache>
                <c:ptCount val="1"/>
                <c:pt idx="0">
                  <c:v>106</c:v>
                </c:pt>
              </c:strCache>
            </c:strRef>
          </c:tx>
          <c:spPr>
            <a:gradFill flip="none" rotWithShape="1"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10800000" scaled="1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Dinâmicas!$A$24:$A$26</c:f>
              <c:strCache>
                <c:ptCount val="2"/>
                <c:pt idx="0">
                  <c:v>Pagamento Médico</c:v>
                </c:pt>
                <c:pt idx="1">
                  <c:v>Pagamento Médico Hospital</c:v>
                </c:pt>
              </c:strCache>
            </c:strRef>
          </c:cat>
          <c:val>
            <c:numRef>
              <c:f>Dinâmicas!$C$24:$C$26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E4-420D-9CD2-E71C186C24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907439024"/>
        <c:axId val="907437104"/>
        <c:axId val="0"/>
      </c:bar3DChart>
      <c:catAx>
        <c:axId val="907439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437104"/>
        <c:crosses val="autoZero"/>
        <c:auto val="1"/>
        <c:lblAlgn val="ctr"/>
        <c:lblOffset val="100"/>
        <c:noMultiLvlLbl val="0"/>
      </c:catAx>
      <c:valAx>
        <c:axId val="90743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43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 flip="none" rotWithShape="1"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10800000" scaled="1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152400</xdr:rowOff>
    </xdr:from>
    <xdr:to>
      <xdr:col>3</xdr:col>
      <xdr:colOff>996950</xdr:colOff>
      <xdr:row>0</xdr:row>
      <xdr:rowOff>564287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ECBA7B1-004F-1310-2D83-8529A5FCB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152400"/>
          <a:ext cx="3215640" cy="415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1150620</xdr:colOff>
      <xdr:row>0</xdr:row>
      <xdr:rowOff>167640</xdr:rowOff>
    </xdr:from>
    <xdr:to>
      <xdr:col>3</xdr:col>
      <xdr:colOff>2834640</xdr:colOff>
      <xdr:row>0</xdr:row>
      <xdr:rowOff>491640</xdr:rowOff>
    </xdr:to>
    <xdr:sp macro="[0]!procurar_novos_chamados" textlink="">
      <xdr:nvSpPr>
        <xdr:cNvPr id="3" name="Retângulo: Biselado 2">
          <a:extLst>
            <a:ext uri="{FF2B5EF4-FFF2-40B4-BE49-F238E27FC236}">
              <a16:creationId xmlns:a16="http://schemas.microsoft.com/office/drawing/2014/main" id="{BF6FC658-7363-BCD2-9585-917DAAB125CF}"/>
            </a:ext>
          </a:extLst>
        </xdr:cNvPr>
        <xdr:cNvSpPr/>
      </xdr:nvSpPr>
      <xdr:spPr>
        <a:xfrm>
          <a:off x="3444240" y="167640"/>
          <a:ext cx="1684020" cy="324000"/>
        </a:xfrm>
        <a:prstGeom prst="bevel">
          <a:avLst/>
        </a:prstGeom>
        <a:solidFill>
          <a:srgbClr val="00B6A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Atualizar</a:t>
          </a:r>
          <a:r>
            <a:rPr lang="pt-BR" sz="1100" b="1" baseline="0"/>
            <a:t> distribuição</a:t>
          </a:r>
          <a:endParaRPr lang="pt-BR" sz="1100" b="1"/>
        </a:p>
      </xdr:txBody>
    </xdr:sp>
    <xdr:clientData/>
  </xdr:twoCellAnchor>
  <xdr:twoCellAnchor>
    <xdr:from>
      <xdr:col>4</xdr:col>
      <xdr:colOff>167640</xdr:colOff>
      <xdr:row>0</xdr:row>
      <xdr:rowOff>167640</xdr:rowOff>
    </xdr:from>
    <xdr:to>
      <xdr:col>4</xdr:col>
      <xdr:colOff>2011680</xdr:colOff>
      <xdr:row>0</xdr:row>
      <xdr:rowOff>491640</xdr:rowOff>
    </xdr:to>
    <xdr:sp macro="[0]!nova_planilha" textlink="">
      <xdr:nvSpPr>
        <xdr:cNvPr id="15" name="Retângulo: Biselado 14">
          <a:extLst>
            <a:ext uri="{FF2B5EF4-FFF2-40B4-BE49-F238E27FC236}">
              <a16:creationId xmlns:a16="http://schemas.microsoft.com/office/drawing/2014/main" id="{B65CB630-D5DB-4C2E-BC7E-4DAF98128F44}"/>
            </a:ext>
          </a:extLst>
        </xdr:cNvPr>
        <xdr:cNvSpPr/>
      </xdr:nvSpPr>
      <xdr:spPr>
        <a:xfrm>
          <a:off x="5471160" y="167640"/>
          <a:ext cx="1844040" cy="324000"/>
        </a:xfrm>
        <a:prstGeom prst="bevel">
          <a:avLst/>
        </a:prstGeom>
        <a:solidFill>
          <a:srgbClr val="00B6A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Salvar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18</xdr:row>
      <xdr:rowOff>60960</xdr:rowOff>
    </xdr:from>
    <xdr:to>
      <xdr:col>9</xdr:col>
      <xdr:colOff>0</xdr:colOff>
      <xdr:row>30</xdr:row>
      <xdr:rowOff>91440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3C4A06-255A-425F-96FD-72AF99D68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76200</xdr:rowOff>
    </xdr:from>
    <xdr:to>
      <xdr:col>3</xdr:col>
      <xdr:colOff>541020</xdr:colOff>
      <xdr:row>1</xdr:row>
      <xdr:rowOff>155982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0E15D34-B8CB-4AC3-9EB1-52076727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" y="76200"/>
          <a:ext cx="2979420" cy="415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274320</xdr:colOff>
      <xdr:row>0</xdr:row>
      <xdr:rowOff>30480</xdr:rowOff>
    </xdr:from>
    <xdr:to>
      <xdr:col>8</xdr:col>
      <xdr:colOff>594360</xdr:colOff>
      <xdr:row>2</xdr:row>
      <xdr:rowOff>0</xdr:rowOff>
    </xdr:to>
    <xdr:sp macro="" textlink="">
      <xdr:nvSpPr>
        <xdr:cNvPr id="4" name="Seta: Divisa 3">
          <a:extLst>
            <a:ext uri="{FF2B5EF4-FFF2-40B4-BE49-F238E27FC236}">
              <a16:creationId xmlns:a16="http://schemas.microsoft.com/office/drawing/2014/main" id="{6F245CB6-4D90-0623-C320-14B835A53A70}"/>
            </a:ext>
          </a:extLst>
        </xdr:cNvPr>
        <xdr:cNvSpPr/>
      </xdr:nvSpPr>
      <xdr:spPr>
        <a:xfrm>
          <a:off x="7498080" y="30480"/>
          <a:ext cx="320040" cy="48768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7620</xdr:colOff>
      <xdr:row>2</xdr:row>
      <xdr:rowOff>167640</xdr:rowOff>
    </xdr:from>
    <xdr:to>
      <xdr:col>5</xdr:col>
      <xdr:colOff>434340</xdr:colOff>
      <xdr:row>16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5355DB6-30E8-428F-BAAD-C74D80E78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175260</xdr:rowOff>
    </xdr:from>
    <xdr:to>
      <xdr:col>8</xdr:col>
      <xdr:colOff>579120</xdr:colOff>
      <xdr:row>44</xdr:row>
      <xdr:rowOff>129540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632BC42-F7C3-4124-8AAB-EA5AAAEEFB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44</xdr:row>
      <xdr:rowOff>175260</xdr:rowOff>
    </xdr:from>
    <xdr:to>
      <xdr:col>8</xdr:col>
      <xdr:colOff>586740</xdr:colOff>
      <xdr:row>59</xdr:row>
      <xdr:rowOff>175260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11E6134-2224-49B7-9B38-2393E45FA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2331720</xdr:colOff>
      <xdr:row>0</xdr:row>
      <xdr:rowOff>53340</xdr:rowOff>
    </xdr:from>
    <xdr:to>
      <xdr:col>9</xdr:col>
      <xdr:colOff>182880</xdr:colOff>
      <xdr:row>19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5D1D999-F083-3E06-94BA-7ED221F7090D}"/>
            </a:ext>
          </a:extLst>
        </xdr:cNvPr>
        <xdr:cNvSpPr/>
      </xdr:nvSpPr>
      <xdr:spPr>
        <a:xfrm>
          <a:off x="2331720" y="53340"/>
          <a:ext cx="9761220" cy="342138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pt-BR" sz="1200" b="1">
            <a:solidFill>
              <a:srgbClr val="00B6AD"/>
            </a:solidFill>
          </a:endParaRPr>
        </a:p>
        <a:p>
          <a:pPr algn="ctr"/>
          <a:endParaRPr lang="pt-BR" sz="1200" b="1">
            <a:solidFill>
              <a:srgbClr val="00B6AD"/>
            </a:solidFill>
          </a:endParaRPr>
        </a:p>
        <a:p>
          <a:pPr algn="ctr"/>
          <a:r>
            <a:rPr lang="pt-BR" sz="1200" b="1">
              <a:solidFill>
                <a:sysClr val="windowText" lastClr="000000"/>
              </a:solidFill>
            </a:rPr>
            <a:t>Como Utilizar</a:t>
          </a:r>
          <a:br>
            <a:rPr lang="pt-BR" sz="1200" b="1">
              <a:solidFill>
                <a:sysClr val="windowText" lastClr="000000"/>
              </a:solidFill>
            </a:rPr>
          </a:br>
          <a:r>
            <a:rPr lang="pt-BR" sz="1200" b="0">
              <a:solidFill>
                <a:sysClr val="windowText" lastClr="000000"/>
              </a:solidFill>
            </a:rPr>
            <a:t>1</a:t>
          </a:r>
          <a:r>
            <a:rPr lang="pt-BR" sz="1200" b="0" baseline="0">
              <a:solidFill>
                <a:sysClr val="windowText" lastClr="000000"/>
              </a:solidFill>
            </a:rPr>
            <a:t> - Não apertar o mesmo botão duas vezes</a:t>
          </a:r>
          <a:endParaRPr lang="pt-BR" sz="1200" b="0">
            <a:solidFill>
              <a:sysClr val="windowText" lastClr="000000"/>
            </a:solidFill>
          </a:endParaRPr>
        </a:p>
        <a:p>
          <a:pPr algn="ctr"/>
          <a:r>
            <a:rPr lang="pt-BR" sz="1200" b="0" baseline="0">
              <a:solidFill>
                <a:sysClr val="windowText" lastClr="000000"/>
              </a:solidFill>
            </a:rPr>
            <a:t>2 - Nas abas "360" e "Fluig" apague a coluna A e remova os filtros </a:t>
          </a:r>
        </a:p>
        <a:p>
          <a:pPr algn="ctr"/>
          <a:r>
            <a:rPr lang="pt-BR" sz="1200" b="0" baseline="0">
              <a:solidFill>
                <a:sysClr val="windowText" lastClr="000000"/>
              </a:solidFill>
            </a:rPr>
            <a:t>3 - Alimente as abas com os novos dados que deseja distribuir</a:t>
          </a:r>
        </a:p>
        <a:p>
          <a:pPr algn="ctr"/>
          <a:endParaRPr lang="pt-BR" sz="1200" b="0" baseline="0">
            <a:solidFill>
              <a:sysClr val="windowText" lastClr="000000"/>
            </a:solidFill>
          </a:endParaRPr>
        </a:p>
        <a:p>
          <a:pPr algn="ctr"/>
          <a:r>
            <a:rPr lang="pt-BR" sz="1200" b="1" baseline="0">
              <a:solidFill>
                <a:sysClr val="windowText" lastClr="000000"/>
              </a:solidFill>
            </a:rPr>
            <a:t>REGRAS</a:t>
          </a:r>
          <a:endParaRPr lang="pt-BR" sz="1200" b="0" baseline="0">
            <a:solidFill>
              <a:sysClr val="windowText" lastClr="000000"/>
            </a:solidFill>
          </a:endParaRPr>
        </a:p>
        <a:p>
          <a:pPr algn="ctr"/>
          <a:r>
            <a:rPr lang="pt-BR" sz="1200" b="0" baseline="0">
              <a:solidFill>
                <a:sysClr val="windowText" lastClr="000000"/>
              </a:solidFill>
            </a:rPr>
            <a:t>1 - Mantem os chamados ainda não concluídos com o mesmo analista até a conclusão</a:t>
          </a:r>
        </a:p>
        <a:p>
          <a:pPr algn="ctr"/>
          <a:r>
            <a:rPr lang="pt-BR" sz="1200" b="0" baseline="0">
              <a:solidFill>
                <a:sysClr val="windowText" lastClr="000000"/>
              </a:solidFill>
            </a:rPr>
            <a:t>2 - Calcula a quantidade de dias que o chamado esta vencido e retornar o valor em negativo</a:t>
          </a:r>
        </a:p>
        <a:p>
          <a:pPr algn="ctr"/>
          <a:r>
            <a:rPr lang="pt-BR" sz="1200" b="0" baseline="0">
              <a:solidFill>
                <a:sysClr val="windowText" lastClr="000000"/>
              </a:solidFill>
            </a:rPr>
            <a:t>3 - Inclui a data de distribuição   </a:t>
          </a:r>
        </a:p>
        <a:p>
          <a:pPr algn="ctr"/>
          <a:r>
            <a:rPr lang="pt-BR" sz="1200" b="0" baseline="0">
              <a:solidFill>
                <a:sysClr val="windowText" lastClr="000000"/>
              </a:solidFill>
            </a:rPr>
            <a:t>4 - Calcula o aging com a data de distribuição para controle de demandas </a:t>
          </a:r>
        </a:p>
        <a:p>
          <a:pPr algn="ctr"/>
          <a:r>
            <a:rPr lang="pt-BR" sz="1200" b="0" baseline="0">
              <a:solidFill>
                <a:sysClr val="windowText" lastClr="000000"/>
              </a:solidFill>
            </a:rPr>
            <a:t>5 - Filtra os valores vencidos e marca em vermelho como sinal de alerta </a:t>
          </a:r>
        </a:p>
        <a:p>
          <a:pPr algn="ctr"/>
          <a:r>
            <a:rPr lang="pt-BR" sz="1200" b="0" baseline="0">
              <a:solidFill>
                <a:sysClr val="windowText" lastClr="000000"/>
              </a:solidFill>
            </a:rPr>
            <a:t>6 - Não distribui o mesmo fornecedor para analistas diferentes a não ser que o fornecedor tenha chamados vencidos, neste cenário, os chamados vencidos irão ser distribuidos para os analistas definidos para tratar esses casos em especificos.</a:t>
          </a:r>
          <a:endParaRPr lang="pt-BR" sz="1200" b="0">
            <a:solidFill>
              <a:sysClr val="windowText" lastClr="000000"/>
            </a:solidFill>
          </a:endParaRPr>
        </a:p>
        <a:p>
          <a:pPr algn="ctr"/>
          <a:endParaRPr lang="pt-BR" sz="12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236220</xdr:colOff>
      <xdr:row>0</xdr:row>
      <xdr:rowOff>152400</xdr:rowOff>
    </xdr:from>
    <xdr:to>
      <xdr:col>3</xdr:col>
      <xdr:colOff>533400</xdr:colOff>
      <xdr:row>3</xdr:row>
      <xdr:rowOff>18822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3F1E8D2-5D21-42BC-BD17-B143918F1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0220" y="152400"/>
          <a:ext cx="3215640" cy="415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a, Patrik Araújo" id="{9ABA1D7B-6A46-4DB3-8088-92FE017D02A2}" userId="S::patrik.araujo.maia@accenture.com::ed1f3e35-d793-4112-bdca-189d04a3ee26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elho, Beatriz Ferreira dos Santos" refreshedDate="45455.386370138891" createdVersion="8" refreshedVersion="8" minRefreshableVersion="3" recordCount="823" xr:uid="{02F1C1A1-DBD4-4617-894E-0996EB9850B9}">
  <cacheSource type="worksheet">
    <worksheetSource ref="A2:Q1048576" sheet="Distribuição"/>
  </cacheSource>
  <cacheFields count="17">
    <cacheField name="Respónsavel" numFmtId="0">
      <sharedItems containsBlank="1" count="15">
        <s v="Carolina"/>
        <s v="Pamela"/>
        <s v="Fabiana"/>
        <s v="Vinicius"/>
        <s v="Camila"/>
        <s v="Fernanda"/>
        <s v="Isabela Correia"/>
        <s v="Isabela Rodrigues"/>
        <s v="Sabrina"/>
        <s v="Kathleen"/>
        <s v="Adrieli"/>
        <s v="Angla"/>
        <m/>
        <s v="Izabela Rodrigues" u="1"/>
        <s v="Vitoria" u="1"/>
      </sharedItems>
    </cacheField>
    <cacheField name="ID" numFmtId="0">
      <sharedItems containsString="0" containsBlank="1" containsNumber="1" containsInteger="1" minValue="591613" maxValue="2892701"/>
    </cacheField>
    <cacheField name="Origem" numFmtId="0">
      <sharedItems containsBlank="1" containsMixedTypes="1" containsNumber="1" containsInteger="1" minValue="360" maxValue="360" count="3">
        <n v="360"/>
        <s v="Fluig"/>
        <m/>
      </sharedItems>
    </cacheField>
    <cacheField name="Código de Alçada de Aprovação /Descrição" numFmtId="0">
      <sharedItems containsBlank="1" containsMixedTypes="1" containsNumber="1" containsInteger="1" minValue="2314480" maxValue="2892530" count="649">
        <n v="2537025"/>
        <n v="2314480"/>
        <n v="2511654"/>
        <n v="2511649"/>
        <n v="2578987"/>
        <n v="2676673"/>
        <n v="2620764"/>
        <n v="2598114"/>
        <n v="2615345"/>
        <n v="2598119"/>
        <n v="2884246"/>
        <n v="2875039"/>
        <n v="2863141"/>
        <n v="2614054"/>
        <n v="2601239"/>
        <n v="2612359"/>
        <n v="2884235"/>
        <n v="2878438"/>
        <n v="2873202"/>
        <n v="2868596"/>
        <n v="2869948"/>
        <n v="2889041"/>
        <s v="Pagamento Antecipado"/>
        <s v="Jornada do Fornecedor V360"/>
        <s v="Oncoclinicas"/>
        <n v="2880772"/>
        <n v="2890859"/>
        <n v="2890894"/>
        <n v="2880705"/>
        <n v="2858042"/>
        <n v="2874887"/>
        <n v="2732654"/>
        <n v="2646937"/>
        <n v="2615220"/>
        <n v="2606210"/>
        <n v="2598254"/>
        <n v="2598196"/>
        <n v="2892103"/>
        <n v="2889138"/>
        <n v="2891535"/>
        <n v="2891115"/>
        <n v="2889466"/>
        <n v="2888267"/>
        <n v="2886652"/>
        <n v="2877914"/>
        <n v="2878036"/>
        <n v="2877868"/>
        <n v="2876282"/>
        <n v="2874699"/>
        <n v="2874003"/>
        <n v="2872321"/>
        <n v="2872159"/>
        <n v="2868730"/>
        <n v="2891515"/>
        <n v="2885730"/>
        <n v="2878671"/>
        <n v="2878663"/>
        <n v="2878655"/>
        <n v="2878799"/>
        <n v="2877919"/>
        <n v="2871851"/>
        <n v="2871292"/>
        <n v="2869914"/>
        <n v="2869851"/>
        <n v="2869988"/>
        <n v="2869903"/>
        <n v="2890251"/>
        <n v="2890176"/>
        <n v="2885861"/>
        <n v="2882860"/>
        <n v="2882824"/>
        <n v="2879511"/>
        <n v="2875198"/>
        <n v="2869255"/>
        <n v="2869252"/>
        <n v="2869254"/>
        <n v="2869248"/>
        <n v="2869285"/>
        <n v="2869245"/>
        <n v="2869236"/>
        <n v="2869237"/>
        <n v="2869240"/>
        <n v="2869234"/>
        <n v="2869233"/>
        <n v="2869238"/>
        <n v="2869239"/>
        <n v="2891355"/>
        <n v="2891345"/>
        <n v="2891339"/>
        <n v="2886649"/>
        <n v="2885396"/>
        <n v="2882440"/>
        <n v="2882317"/>
        <n v="2882318"/>
        <n v="2881328"/>
        <n v="2880876"/>
        <n v="2876604"/>
        <n v="2888681"/>
        <n v="2873200"/>
        <n v="2870288"/>
        <n v="2870193"/>
        <n v="2870323"/>
        <n v="2870419"/>
        <n v="2870490"/>
        <n v="2888633"/>
        <n v="2868697"/>
        <n v="2890763"/>
        <n v="2891399"/>
        <n v="2889413"/>
        <n v="2888823"/>
        <n v="2886923"/>
        <n v="2891448"/>
        <n v="2879097"/>
        <n v="2877533"/>
        <n v="2877722"/>
        <n v="2877387"/>
        <n v="2877386"/>
        <n v="2876465"/>
        <n v="2875126"/>
        <n v="2890250"/>
        <n v="2890079"/>
        <n v="2889488"/>
        <n v="2889469"/>
        <n v="2889449"/>
        <n v="2889431"/>
        <n v="2888036"/>
        <n v="2886644"/>
        <n v="2886586"/>
        <n v="2882822"/>
        <n v="2882834"/>
        <n v="2881299"/>
        <n v="2881281"/>
        <n v="2881297"/>
        <n v="2881311"/>
        <n v="2881331"/>
        <n v="2881223"/>
        <n v="2890977"/>
        <n v="2890801"/>
        <n v="2878737"/>
        <n v="2877374"/>
        <n v="2877088"/>
        <n v="2876649"/>
        <n v="2872075"/>
        <n v="2869597"/>
        <n v="2868589"/>
        <n v="2891219"/>
        <n v="2890147"/>
        <n v="2884564"/>
        <n v="2882851"/>
        <n v="2882603"/>
        <n v="2876200"/>
        <n v="2891024"/>
        <n v="2891534"/>
        <n v="2889471"/>
        <n v="2878968"/>
        <n v="2872864"/>
        <n v="2891202"/>
        <n v="2891100"/>
        <n v="2891088"/>
        <n v="2889332"/>
        <n v="2888936"/>
        <n v="2888910"/>
        <n v="2888896"/>
        <n v="2888875"/>
        <n v="2888230"/>
        <n v="2888060"/>
        <n v="2885668"/>
        <n v="2885497"/>
        <n v="2883697"/>
        <n v="2883122"/>
        <n v="2881146"/>
        <n v="2880653"/>
        <n v="2879093"/>
        <n v="2888684"/>
        <n v="2873613"/>
        <n v="2891960"/>
        <n v="2889391"/>
        <n v="2889008"/>
        <n v="2888969"/>
        <n v="2879656"/>
        <n v="2879131"/>
        <n v="2879082"/>
        <n v="2888504"/>
        <n v="2889501"/>
        <n v="2889243"/>
        <n v="2889107"/>
        <n v="2885805"/>
        <n v="2888175"/>
        <n v="2888170"/>
        <n v="2883906"/>
        <n v="2879535"/>
        <n v="2879132"/>
        <n v="2892040"/>
        <n v="2887843"/>
        <n v="2887790"/>
        <n v="2887784"/>
        <n v="2882354"/>
        <n v="2880421"/>
        <n v="2880327"/>
        <n v="2877937"/>
        <n v="2871393"/>
        <n v="2869354"/>
        <n v="2890162"/>
        <n v="2889533"/>
        <n v="2889426"/>
        <n v="2889375"/>
        <n v="2889315"/>
        <n v="2889204"/>
        <n v="2889340"/>
        <n v="2889182"/>
        <n v="2889357"/>
        <n v="2889183"/>
        <n v="2889128"/>
        <n v="2888985"/>
        <n v="2887371"/>
        <n v="2888609"/>
        <n v="2881153"/>
        <n v="2881150"/>
        <n v="2879526"/>
        <n v="2873184"/>
        <n v="2873174"/>
        <n v="2873162"/>
        <n v="2871316"/>
        <n v="2871067"/>
        <n v="2871090"/>
        <n v="2891496"/>
        <n v="2891495"/>
        <n v="2891512"/>
        <n v="2890726"/>
        <n v="2890283"/>
        <n v="2890276"/>
        <n v="2890284"/>
        <n v="2890265"/>
        <n v="2890255"/>
        <n v="2890201"/>
        <n v="2890203"/>
        <n v="2890202"/>
        <n v="2890141"/>
        <n v="2890138"/>
        <n v="2889696"/>
        <n v="2889564"/>
        <n v="2889493"/>
        <n v="2889226"/>
        <n v="2889080"/>
        <n v="2888964"/>
        <n v="2888691"/>
        <n v="2888702"/>
        <n v="2888683"/>
        <n v="2888425"/>
        <n v="2888292"/>
        <n v="2888426"/>
        <n v="2891689"/>
        <n v="2887680"/>
        <n v="2887452"/>
        <n v="2887429"/>
        <n v="2886924"/>
        <n v="2886678"/>
        <n v="2886794"/>
        <n v="2886654"/>
        <n v="2886642"/>
        <n v="2886667"/>
        <n v="2886628"/>
        <n v="2886666"/>
        <n v="2886664"/>
        <n v="2886618"/>
        <n v="2886592"/>
        <n v="2886688"/>
        <n v="2886701"/>
        <n v="2886582"/>
        <n v="2886587"/>
        <n v="2886680"/>
        <n v="2886573"/>
        <n v="2885809"/>
        <n v="2885860"/>
        <n v="2885198"/>
        <n v="2884256"/>
        <n v="2883669"/>
        <n v="2883600"/>
        <n v="2883349"/>
        <n v="2883207"/>
        <n v="2883157"/>
        <n v="2883148"/>
        <n v="2883167"/>
        <n v="2883138"/>
        <n v="2883143"/>
        <n v="2883283"/>
        <n v="2883151"/>
        <n v="2883153"/>
        <n v="2883161"/>
        <n v="2883164"/>
        <n v="2883142"/>
        <n v="2882865"/>
        <n v="2882878"/>
        <n v="2882852"/>
        <n v="2882823"/>
        <n v="2882817"/>
        <n v="2882806"/>
        <n v="2882799"/>
        <n v="2882802"/>
        <n v="2888640"/>
        <n v="2882600"/>
        <n v="2882598"/>
        <n v="2882467"/>
        <n v="2882463"/>
        <n v="2882199"/>
        <n v="2882117"/>
        <n v="2882042"/>
        <n v="2882052"/>
        <n v="2881925"/>
        <n v="2881894"/>
        <n v="2881805"/>
        <n v="2881862"/>
        <n v="2881761"/>
        <n v="2881701"/>
        <n v="2881812"/>
        <n v="2881699"/>
        <n v="2881753"/>
        <n v="2881698"/>
        <n v="2881695"/>
        <n v="2881554"/>
        <n v="2881539"/>
        <n v="2881512"/>
        <n v="2881338"/>
        <n v="2881320"/>
        <n v="2881202"/>
        <n v="2881120"/>
        <n v="2881114"/>
        <n v="2881390"/>
        <n v="2881269"/>
        <n v="2881267"/>
        <n v="2881212"/>
        <n v="2881026"/>
        <n v="2880390"/>
        <n v="2880583"/>
        <n v="2879749"/>
        <n v="2891307"/>
        <n v="2891809"/>
        <n v="2879729"/>
        <n v="2879680"/>
        <n v="2879659"/>
        <n v="2879524"/>
        <n v="2879393"/>
        <n v="2879171"/>
        <n v="2879020"/>
        <n v="2879009"/>
        <n v="2877974"/>
        <n v="2877975"/>
        <n v="2877932"/>
        <n v="2877440"/>
        <n v="2876998"/>
        <n v="2876694"/>
        <n v="2876613"/>
        <n v="2876590"/>
        <n v="2876157"/>
        <n v="2876353"/>
        <n v="2876303"/>
        <n v="2876028"/>
        <n v="2876305"/>
        <n v="2876176"/>
        <n v="2876136"/>
        <n v="2876017"/>
        <n v="2876147"/>
        <n v="2876164"/>
        <n v="2876039"/>
        <n v="2875180"/>
        <n v="2875205"/>
        <n v="2888395"/>
        <n v="2874868"/>
        <n v="2874710"/>
        <n v="2874838"/>
        <n v="2874852"/>
        <n v="2874129"/>
        <n v="2873246"/>
        <n v="2873240"/>
        <n v="2873217"/>
        <n v="2871688"/>
        <n v="2871653"/>
        <n v="2871621"/>
        <n v="2871426"/>
        <n v="2871408"/>
        <n v="2871399"/>
        <n v="2871381"/>
        <n v="2871378"/>
        <n v="2870201"/>
        <n v="2870003"/>
        <n v="2892530"/>
        <s v="Solicitacao De GDE"/>
        <s v="Pagamento Médico"/>
        <s v="Pagamento Médico Hospital"/>
        <s v="Compras Diversos"/>
        <s v="Compras ti serviços"/>
        <s v="Cadastro de Fornecedor"/>
        <s v="Doação"/>
        <s v="Bonificacao"/>
        <s v="Transferencia entre filiais"/>
        <m/>
        <n v="2631490" u="1"/>
        <n v="2424263" u="1"/>
        <n v="2557708" u="1"/>
        <n v="2882754" u="1"/>
        <n v="2872878" u="1"/>
        <n v="2871466" u="1"/>
        <n v="2861840" u="1"/>
        <n v="2870790" u="1"/>
        <n v="2871652" u="1"/>
        <n v="2572988" u="1"/>
        <n v="2854565" u="1"/>
        <n v="2732302" u="1"/>
        <n v="2671917" u="1"/>
        <n v="2600362" u="1"/>
        <n v="2879694" u="1"/>
        <n v="2882803" u="1"/>
        <n v="2881900" u="1"/>
        <n v="2888812" u="1"/>
        <n v="2889145" u="1"/>
        <n v="2884860" u="1"/>
        <n v="2885052" u="1"/>
        <n v="2881441" u="1"/>
        <n v="2888853" u="1"/>
        <n v="2879681" u="1"/>
        <n v="2877983" u="1"/>
        <n v="2874662" u="1"/>
        <n v="2870761" u="1"/>
        <n v="2889073" u="1"/>
        <n v="2888925" u="1"/>
        <n v="2888433" u="1"/>
        <n v="2888474" u="1"/>
        <n v="2880788" u="1"/>
        <n v="2879637" u="1"/>
        <n v="2876895" u="1"/>
        <n v="2876469" u="1"/>
        <n v="2874827" u="1"/>
        <n v="2874615" u="1"/>
        <n v="2874099" u="1"/>
        <n v="2873600" u="1"/>
        <n v="2875043" u="1"/>
        <n v="2868533" u="1"/>
        <n v="2884808" u="1"/>
        <n v="2884238" u="1"/>
        <n v="2884212" u="1"/>
        <n v="2883553" u="1"/>
        <n v="2880968" u="1"/>
        <n v="2888476" u="1"/>
        <n v="2888478" u="1"/>
        <n v="2888500" u="1"/>
        <n v="2876983" u="1"/>
        <n v="2874899" u="1"/>
        <n v="2872466" u="1"/>
        <n v="2872323" u="1"/>
        <n v="2871172" u="1"/>
        <n v="2882820" u="1"/>
        <n v="2870261" u="1"/>
        <n v="2869749" u="1"/>
        <n v="2869728" u="1"/>
        <n v="2887405" u="1"/>
        <n v="2885816" u="1"/>
        <n v="2885440" u="1"/>
        <n v="2883659" u="1"/>
        <n v="2882719" u="1"/>
        <n v="2882716" u="1"/>
        <n v="2881288" u="1"/>
        <n v="2881274" u="1"/>
        <n v="2879701" u="1"/>
        <n v="2876690" u="1"/>
        <n v="2875369" u="1"/>
        <n v="2875201" u="1"/>
        <n v="2874219" u="1"/>
        <n v="2874139" u="1"/>
        <n v="2887587" u="1"/>
        <n v="2872387" u="1"/>
        <n v="2871659" u="1"/>
        <n v="2871270" u="1"/>
        <n v="2869278" u="1"/>
        <n v="2869271" u="1"/>
        <n v="2869273" u="1"/>
        <n v="2869270" u="1"/>
        <n v="2869249" u="1"/>
        <n v="2869250" u="1"/>
        <n v="2869251" u="1"/>
        <n v="2869258" u="1"/>
        <n v="2869253" u="1"/>
        <n v="2872988" u="1"/>
        <n v="2872991" u="1"/>
        <n v="2871149" u="1"/>
        <n v="2870402" u="1"/>
        <n v="2886805" u="1"/>
        <n v="2885128" u="1"/>
        <n v="2874336" u="1"/>
        <n v="2874327" u="1"/>
        <n v="2888042" u="1"/>
        <n v="2882196" u="1"/>
        <n v="2878811" u="1"/>
        <n v="2877764" u="1"/>
        <n v="2877532" u="1"/>
        <n v="2877710" u="1"/>
        <n v="2876652" u="1"/>
        <n v="2876658" u="1"/>
        <n v="2873175" u="1"/>
        <n v="2869755" u="1"/>
        <n v="2870033" u="1"/>
        <n v="2888334" u="1"/>
        <n v="2884632" u="1"/>
        <n v="2884303" u="1"/>
        <n v="2882531" u="1"/>
        <n v="2876623" u="1"/>
        <n v="2886208" u="1"/>
        <n v="2886528" u="1"/>
        <n v="2884460" u="1"/>
        <n v="2888012" u="1"/>
        <n v="2886622" u="1"/>
        <n v="2885806" u="1"/>
        <n v="2884490" u="1"/>
        <n v="2882244" u="1"/>
        <n v="2874655" u="1"/>
        <n v="2874654" u="1"/>
        <n v="2874651" u="1"/>
        <n v="2872990" u="1"/>
        <n v="2871190" u="1"/>
        <n v="2889271" u="1"/>
        <n v="2888974" u="1"/>
        <n v="2888669" u="1"/>
        <n v="2888720" u="1"/>
        <n v="2886806" u="1"/>
        <n v="2886641" u="1"/>
        <n v="2882679" u="1"/>
        <n v="2881217" u="1"/>
        <n v="2880993" u="1"/>
        <n v="2880954" u="1"/>
        <n v="2880866" u="1"/>
        <n v="2880823" u="1"/>
        <n v="2880767" u="1"/>
        <n v="2880385" u="1"/>
        <n v="2879687" u="1"/>
        <n v="2876183" u="1"/>
        <n v="2875366" u="1"/>
        <n v="2870832" u="1"/>
        <n v="2869577" u="1"/>
        <n v="2886651" u="1"/>
        <n v="2885808" u="1"/>
        <n v="2885304" u="1"/>
        <n v="2884127" u="1"/>
        <n v="2884295" u="1"/>
        <n v="2873534" u="1"/>
        <n v="2870314" u="1"/>
        <n v="2888421" u="1"/>
        <n v="2887675" u="1"/>
        <n v="2871338" u="1"/>
        <n v="2889035" u="1"/>
        <n v="2889031" u="1"/>
        <n v="2888979" u="1"/>
        <n v="2888996" u="1"/>
        <n v="2889036" u="1"/>
        <n v="2888968" u="1"/>
        <n v="2885722" u="1"/>
        <n v="2881998" u="1"/>
        <n v="2881337" u="1"/>
        <n v="2879650" u="1"/>
        <n v="2873817" u="1"/>
        <n v="2873808" u="1"/>
        <n v="2873773" u="1"/>
        <n v="2873834" u="1"/>
        <n v="2871636" u="1"/>
        <n v="2871131" u="1"/>
        <n v="2871259" u="1"/>
        <n v="2889353" u="1"/>
        <n v="2888610" u="1"/>
        <n v="2888312" u="1"/>
        <n v="2887448" u="1"/>
        <n v="2886932" u="1"/>
        <n v="2886927" u="1"/>
        <n v="2886799" u="1"/>
        <n v="2886661" u="1"/>
        <n v="2886653" u="1"/>
        <n v="2886795" u="1"/>
        <n v="2886640" u="1"/>
        <n v="2886662" u="1"/>
        <n v="2886611" u="1"/>
        <n v="2886681" u="1"/>
        <n v="2886575" u="1"/>
        <n v="2886576" u="1"/>
        <n v="2885768" u="1"/>
        <n v="2883351" u="1"/>
        <n v="2883399" u="1"/>
        <n v="2883109" u="1"/>
        <n v="2882879" u="1"/>
        <n v="2882807" u="1"/>
        <n v="2882808" u="1"/>
        <n v="2882805" u="1"/>
        <n v="2882234" u="1"/>
        <n v="2882265" u="1"/>
        <n v="2882273" u="1"/>
        <n v="2881893" u="1"/>
        <n v="2881705" u="1"/>
        <n v="2881454" u="1"/>
        <n v="2881193" u="1"/>
        <n v="2881098" u="1"/>
        <n v="2881266" u="1"/>
        <n v="2881075" u="1"/>
        <n v="2881317" u="1"/>
        <n v="2880764" u="1"/>
        <n v="2879725" u="1"/>
        <n v="2879784" u="1"/>
        <n v="2879712" u="1"/>
        <n v="2879667" u="1"/>
        <n v="2879606" u="1"/>
        <n v="2879195" u="1"/>
        <n v="2879157" u="1"/>
        <n v="2878032" u="1"/>
        <n v="2876622" u="1"/>
        <n v="2876625" u="1"/>
        <n v="2872967" u="1"/>
        <n v="2872839" u="1"/>
        <n v="2871285" u="1"/>
        <n v="2871249" u="1"/>
        <n v="2870198" u="1"/>
        <n v="2870567" u="1"/>
        <n v="2883668" u="1"/>
        <n v="2881347" u="1"/>
        <n v="2876313" u="1"/>
        <n v="2876246" u="1"/>
        <n v="2876232" u="1"/>
        <n v="2876207" u="1"/>
        <n v="2873365" u="1"/>
        <n v="2880707" u="1"/>
        <n v="2886908" u="1"/>
        <n v="2873564" u="1"/>
        <n v="2886589" u="1"/>
        <n v="2884768" u="1"/>
        <n v="2888160" u="1"/>
        <n v="2869386" u="1"/>
        <n v="2880526" u="1"/>
        <n v="2886674" u="1"/>
        <n v="2881750" u="1"/>
        <n v="2886929" u="1"/>
        <n v="2888255" u="1"/>
        <n v="2885767" u="1"/>
        <n v="2876600" u="1"/>
        <n v="2875516" u="1"/>
        <n v="2886648" u="1"/>
        <n v="2882791" u="1"/>
        <n v="2888447" u="1"/>
        <n v="2888443" u="1"/>
        <n v="2883946" u="1"/>
        <n v="2880331" u="1"/>
        <n v="2881906" u="1"/>
        <n v="2873004" u="1"/>
        <n v="2886675" u="1"/>
        <n v="2882819" u="1"/>
        <n v="2876706" u="1"/>
      </sharedItems>
    </cacheField>
    <cacheField name="Razão Social Fornecedor" numFmtId="0">
      <sharedItems containsBlank="1"/>
    </cacheField>
    <cacheField name="Data de Emissão" numFmtId="14">
      <sharedItems containsBlank="1"/>
    </cacheField>
    <cacheField name="Data de Vencimento" numFmtId="14">
      <sharedItems containsDate="1" containsBlank="1" containsMixedTypes="1" minDate="2024-03-04T00:00:00" maxDate="2024-12-07T00:00:00"/>
    </cacheField>
    <cacheField name="Número" numFmtId="0">
      <sharedItems containsString="0" containsBlank="1" containsNumber="1" containsInteger="1" minValue="5" maxValue="202496906"/>
    </cacheField>
    <cacheField name="Tarefa" numFmtId="0">
      <sharedItems containsBlank="1"/>
    </cacheField>
    <cacheField name="Valor Total" numFmtId="0">
      <sharedItems containsString="0" containsBlank="1" containsNumber="1" minValue="9.98" maxValue="144451.24"/>
    </cacheField>
    <cacheField name="Unidade de Negócios" numFmtId="0">
      <sharedItems containsString="0" containsBlank="1" containsNumber="1" minValue="1.00101" maxValue="1.1610100000000001"/>
    </cacheField>
    <cacheField name="Tipo" numFmtId="0">
      <sharedItems containsBlank="1"/>
    </cacheField>
    <cacheField name="Razão Social Tomador" numFmtId="0">
      <sharedItems containsBlank="1"/>
    </cacheField>
    <cacheField name="Dias para vencimento " numFmtId="0">
      <sharedItems containsBlank="1" containsMixedTypes="1" containsNumber="1" containsInteger="1" minValue="-32467" maxValue="132" count="104">
        <n v="-41"/>
        <n v="-134"/>
        <n v="-44"/>
        <n v="-16"/>
        <n v="-18"/>
        <n v="-14"/>
        <n v="-13"/>
        <n v="-11"/>
        <n v="-8"/>
        <n v="-3"/>
        <n v="-4"/>
        <n v="1"/>
        <n v="-28"/>
        <n v="-48"/>
        <n v="-5"/>
        <n v="-73"/>
        <n v="13"/>
        <n v="11"/>
        <n v="9"/>
        <n v="3"/>
        <n v="8"/>
        <n v="2"/>
        <n v="7"/>
        <n v="15"/>
        <n v="10"/>
        <n v="5"/>
        <n v="4"/>
        <n v="6"/>
        <n v="21"/>
        <n v="12"/>
        <n v="18"/>
        <n v="14"/>
        <n v="16"/>
        <n v="22"/>
        <n v="19"/>
        <n v="24"/>
        <n v="29"/>
        <n v="17"/>
        <n v="28"/>
        <n v="33"/>
        <n v="36"/>
        <n v="39"/>
        <n v="27"/>
        <n v="106"/>
        <n v="128"/>
        <e v="#VALUE!"/>
        <n v="83"/>
        <m/>
        <n v="-40" u="1"/>
        <n v="-133" u="1"/>
        <n v="-72" u="1"/>
        <n v="-43" u="1"/>
        <n v="-22" u="1"/>
        <n v="-17" u="1"/>
        <n v="-12" u="1"/>
        <n v="-10" u="1"/>
        <n v="-7" u="1"/>
        <n v="-2" u="1"/>
        <n v="-27" u="1"/>
        <n v="-47" u="1"/>
        <n v="20" u="1"/>
        <n v="30" u="1"/>
        <n v="34" u="1"/>
        <n v="23" u="1"/>
        <n v="37" u="1"/>
        <n v="25" u="1"/>
        <n v="129" u="1"/>
        <n v="107" u="1"/>
        <n v="84" u="1"/>
        <n v="-15" u="1"/>
        <n v="-23" u="1"/>
        <n v="-19" u="1"/>
        <n v="-32467" u="1"/>
        <n v="-132" u="1"/>
        <n v="-42" u="1"/>
        <n v="-39" u="1"/>
        <n v="-6" u="1"/>
        <n v="-9" u="1"/>
        <n v="-1" u="1"/>
        <n v="-26" u="1"/>
        <n v="-46" u="1"/>
        <n v="26" u="1"/>
        <n v="31" u="1"/>
        <n v="38" u="1"/>
        <n v="85" u="1"/>
        <n v="108" u="1"/>
        <n v="130" u="1"/>
        <n v="-37" u="1"/>
        <n v="-130" u="1"/>
        <n v="-24" u="1"/>
        <n v="72" u="1"/>
        <n v="32" u="1"/>
        <n v="42" u="1"/>
        <n v="40" u="1"/>
        <n v="87" u="1"/>
        <n v="110" u="1"/>
        <n v="132" u="1"/>
        <n v="-36" u="1"/>
        <n v="-129" u="1"/>
        <n v="-25" u="1"/>
        <n v="-20" u="1"/>
        <n v="-66" u="1"/>
        <n v="88" u="1"/>
        <n v="111" u="1"/>
      </sharedItems>
    </cacheField>
    <cacheField name="Data distribuição" numFmtId="0">
      <sharedItems containsNonDate="0" containsDate="1" containsString="0" containsBlank="1" minDate="2024-06-12T00:00:00" maxDate="2024-06-13T00:00:00"/>
    </cacheField>
    <cacheField name="Dias do chamados em aberto" numFmtId="0">
      <sharedItems containsString="0" containsBlank="1" containsNumber="1" containsInteger="1" minValue="1" maxValue="2" count="3">
        <n v="1"/>
        <m/>
        <n v="2" u="1"/>
      </sharedItems>
    </cacheField>
    <cacheField name="Verificação de chamados tratados" numFmtId="0">
      <sharedItems containsString="0" containsBlank="1" containsNumber="1" containsInteger="1" minValue="591613" maxValue="715647"/>
    </cacheField>
  </cacheFields>
  <extLst>
    <ext xmlns:x14="http://schemas.microsoft.com/office/spreadsheetml/2009/9/main" uri="{725AE2AE-9491-48be-B2B4-4EB974FC3084}">
      <x14:pivotCacheDefinition pivotCacheId="139514887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3">
  <r>
    <x v="0"/>
    <n v="715647"/>
    <x v="0"/>
    <x v="0"/>
    <s v="CNC SERVICOS DE APOIO EMPRESARIAL LTDA - EPP"/>
    <s v="02/04/2024"/>
    <s v="17/04/2024"/>
    <n v="9554"/>
    <s v="Analisar - Erro - Integração de Pré Nota"/>
    <n v="2020"/>
    <n v="1.1530100000000001"/>
    <s v="Serviço"/>
    <s v="OC SERVICOS LTDA"/>
    <x v="0"/>
    <d v="2024-06-12T00:00:00"/>
    <x v="0"/>
    <n v="715647"/>
  </r>
  <r>
    <x v="1"/>
    <n v="591613"/>
    <x v="0"/>
    <x v="1"/>
    <s v="CNC SERVICOS DE APOIO EMPRESARIAL LTDA - EPP"/>
    <s v="04/12/2023"/>
    <s v="08/12/2023"/>
    <n v="9000"/>
    <s v="Analisar - Erro - Criação de Medição"/>
    <n v="970"/>
    <n v="1.0460100000000001"/>
    <s v="Serviço"/>
    <s v="COT - CENTRO ONCOLOGICO DO TRIANGULO S.A "/>
    <x v="1"/>
    <d v="2024-06-12T00:00:00"/>
    <x v="0"/>
    <n v="591613"/>
  </r>
  <r>
    <x v="1"/>
    <n v="701218"/>
    <x v="0"/>
    <x v="2"/>
    <s v="FELZEMBURGH GEANIZELLE ARQUITETURA ENGENHARIA E URBANISMO LTDA_x0009_"/>
    <s v="05/03/2024"/>
    <s v="12/04/2024"/>
    <n v="202"/>
    <s v="Analisar - Erro - Criação de Medição"/>
    <n v="6723"/>
    <n v="1.07602"/>
    <s v="Serviço"/>
    <s v="CAM - CLINICA DE ASSISTENCIA A MULHER LTDA"/>
    <x v="2"/>
    <d v="2024-06-12T00:00:00"/>
    <x v="0"/>
    <m/>
  </r>
  <r>
    <x v="1"/>
    <n v="701216"/>
    <x v="0"/>
    <x v="3"/>
    <s v="FELZEMBURGH GEANIZELLE ARQUITETURA ENGENHARIA E URBANISMO LTDA_x0009_"/>
    <s v="05/03/2024"/>
    <s v="12/04/2024"/>
    <n v="201"/>
    <s v="Analisar - Erro - Criação de Medição"/>
    <n v="6761.1"/>
    <n v="1.07602"/>
    <s v="Serviço"/>
    <s v="CAM - CLINICA DE ASSISTENCIA A MULHER LTDA"/>
    <x v="2"/>
    <d v="2024-06-12T00:00:00"/>
    <x v="0"/>
    <m/>
  </r>
  <r>
    <x v="2"/>
    <n v="740097"/>
    <x v="0"/>
    <x v="4"/>
    <s v="KARFERRO COMERCIAL DE FERROS LTDA"/>
    <s v="22/04/2024"/>
    <s v="22/05/2024"/>
    <n v="66705"/>
    <s v="Analisar - Nota Existente no Protheus"/>
    <n v="1008.76"/>
    <n v="1.07602"/>
    <s v="Material"/>
    <s v="CAM - CLINICA DE ASSISTENCIA A MULHER LTDA"/>
    <x v="3"/>
    <d v="2024-06-12T00:00:00"/>
    <x v="0"/>
    <m/>
  </r>
  <r>
    <x v="3"/>
    <n v="764106"/>
    <x v="0"/>
    <x v="5"/>
    <s v="FORMA ARQUITETURA LEGAL EIRELI "/>
    <s v="15/05/2024"/>
    <s v="20/05/2024"/>
    <n v="370"/>
    <s v="Analisar - Erro - Integração de Pré Nota"/>
    <n v="376.2"/>
    <n v="1.0390900000000001"/>
    <s v="Serviço"/>
    <s v="IDENGENE MEDICINA DIAGNOSTICA S.A."/>
    <x v="4"/>
    <d v="2024-06-12T00:00:00"/>
    <x v="0"/>
    <m/>
  </r>
  <r>
    <x v="0"/>
    <n v="756910"/>
    <x v="0"/>
    <x v="6"/>
    <s v="MANUCCI ADVOGADOS"/>
    <s v="08/05/2024"/>
    <s v="24/05/2024"/>
    <n v="2024821"/>
    <s v="Aguardando Classificação da Nota"/>
    <n v="165"/>
    <n v="1.1040099999999999"/>
    <s v="Serviço"/>
    <s v="ICB INSTITUTO DE CANCER DO BRASIL PARTICIPACOES LTDA"/>
    <x v="5"/>
    <d v="2024-06-12T00:00:00"/>
    <x v="0"/>
    <m/>
  </r>
  <r>
    <x v="1"/>
    <n v="749598"/>
    <x v="0"/>
    <x v="7"/>
    <s v="54.412.426 FELIPE CARVALHO MACHADO"/>
    <s v="02/05/2024"/>
    <s v="27/05/2024"/>
    <n v="5"/>
    <s v="Analisar - Lançamento Fiscal"/>
    <n v="13538"/>
    <n v="1.0740099999999999"/>
    <s v="Serviço"/>
    <s v="COMPLEXO HOSPITALAR UBERLANDIA S.A"/>
    <x v="6"/>
    <d v="2024-06-12T00:00:00"/>
    <x v="0"/>
    <m/>
  </r>
  <r>
    <x v="2"/>
    <n v="755709"/>
    <x v="0"/>
    <x v="8"/>
    <s v="CNC SERVICOS DE APOIO EMPRESARIAL LTDA - EPP"/>
    <s v="09/05/2024"/>
    <s v="29/05/2024"/>
    <n v="9711"/>
    <s v="Analisar - Erro - Integração de Pré Nota"/>
    <n v="970"/>
    <n v="1.1530100000000001"/>
    <s v="Serviço"/>
    <s v="OC SERVICOS LTDA"/>
    <x v="7"/>
    <d v="2024-06-12T00:00:00"/>
    <x v="0"/>
    <m/>
  </r>
  <r>
    <x v="3"/>
    <n v="749609"/>
    <x v="0"/>
    <x v="9"/>
    <s v="MAFER SOLUTION BRASIL LTDA"/>
    <s v="02/05/2024"/>
    <s v="01/06/2024"/>
    <n v="565"/>
    <s v="Analisar - Lançamento Fiscal"/>
    <n v="1120"/>
    <m/>
    <s v="Material"/>
    <s v="CENTRO BRASILEIRO DE RADIOTERAPIA ONCOLOGIA E MASTOLOGIA - CEBROM LTDA"/>
    <x v="8"/>
    <d v="2024-06-12T00:00:00"/>
    <x v="0"/>
    <m/>
  </r>
  <r>
    <x v="1"/>
    <n v="769484"/>
    <x v="0"/>
    <x v="10"/>
    <s v="MAP COMERCIO E SERVICOS EIRELI"/>
    <s v="17/05/2024"/>
    <s v="10/06/2024"/>
    <n v="2807"/>
    <s v="Verificar - Dados do Produto"/>
    <n v="1400"/>
    <n v="1.04101"/>
    <s v="Serviço"/>
    <s v="ONCO VIDA INSTITUTO ESPECIALIZADO DE ONCOLOGIA S.A"/>
    <x v="9"/>
    <d v="2024-06-12T00:00:00"/>
    <x v="0"/>
    <m/>
  </r>
  <r>
    <x v="0"/>
    <n v="761122"/>
    <x v="0"/>
    <x v="11"/>
    <s v="FAMAP NUTRICAO PARENTERAL LTDA"/>
    <s v="13/05/2024"/>
    <s v="10/06/2024"/>
    <n v="412313"/>
    <s v="Verificar - Dados do Produto"/>
    <n v="2690.89"/>
    <n v="1.02901"/>
    <s v="Material"/>
    <s v="ONCOBIO SERVICOS DE SAUDE AS"/>
    <x v="9"/>
    <d v="2024-06-12T00:00:00"/>
    <x v="0"/>
    <m/>
  </r>
  <r>
    <x v="3"/>
    <n v="760357"/>
    <x v="0"/>
    <x v="12"/>
    <s v="REFRIGELO CLIMATIZACAO DE AMBIENTES LTDA"/>
    <s v="09/05/2024"/>
    <s v="07/06/2024"/>
    <n v="653367"/>
    <s v="Verificar - Dados do Produto"/>
    <n v="24599"/>
    <n v="1.0740099999999999"/>
    <s v="Material"/>
    <s v="COMPLEXO HOSPITALAR UBERLANDIA S.A"/>
    <x v="10"/>
    <d v="2024-06-12T00:00:00"/>
    <x v="0"/>
    <m/>
  </r>
  <r>
    <x v="1"/>
    <n v="755603"/>
    <x v="0"/>
    <x v="13"/>
    <s v="LM INSTALACOES E CONSTRUCOES"/>
    <s v="08/05/2024"/>
    <s v="12/06/2024"/>
    <n v="149"/>
    <s v="Verificar - Dados do Produto"/>
    <n v="88136.25"/>
    <n v="1.0480100000000001"/>
    <s v="Serviço"/>
    <s v="CENTRO DE TRATAMENTO DE TUMORES BOTAFOGO S.A. "/>
    <x v="11"/>
    <d v="2024-06-12T00:00:00"/>
    <x v="0"/>
    <m/>
  </r>
  <r>
    <x v="3"/>
    <n v="750793"/>
    <x v="0"/>
    <x v="14"/>
    <s v="GRAFICA PAMPULHA LTDA"/>
    <s v="02/05/2024"/>
    <s v="27/05/2024"/>
    <n v="2024212"/>
    <s v="Verificar - Dados do Produto"/>
    <n v="285"/>
    <n v="1.01702"/>
    <s v="Serviço"/>
    <s v="CENTRO DE QUIMIOTERAPIA ONCOCLINICAS S/A "/>
    <x v="6"/>
    <d v="2024-06-12T00:00:00"/>
    <x v="0"/>
    <m/>
  </r>
  <r>
    <x v="0"/>
    <n v="750568"/>
    <x v="0"/>
    <x v="15"/>
    <s v="ROMANO ARQUITETURA E PLANEJAMENTO LTDA"/>
    <s v="03/05/2024"/>
    <s v="07/06/2024"/>
    <n v="395"/>
    <s v="Analisar Erro ao Consultar o Contas a Pagar"/>
    <n v="25000"/>
    <n v="1.0010399999999999"/>
    <s v="Serviço"/>
    <s v="ONCOCLINICAS DO BRASIL SERVICOS MEDICOS SA"/>
    <x v="10"/>
    <d v="2024-06-12T00:00:00"/>
    <x v="0"/>
    <m/>
  </r>
  <r>
    <x v="3"/>
    <n v="786033"/>
    <x v="0"/>
    <x v="16"/>
    <s v="ERITON DA CONCEICAO MARES GUIA 15833759706_x0009_"/>
    <s v="16/05/2024"/>
    <s v="10/06/2024"/>
    <n v="23"/>
    <s v="Analisar - Lançamento Fiscal"/>
    <n v="1050"/>
    <n v="1.10301"/>
    <s v="Serviço"/>
    <s v="NEON - MATRIZ"/>
    <x v="9"/>
    <d v="2024-06-12T00:00:00"/>
    <x v="0"/>
    <m/>
  </r>
  <r>
    <x v="0"/>
    <n v="784547"/>
    <x v="0"/>
    <x v="17"/>
    <s v="SISTEMA DE EMERGENCIA MOVEL DE BRASILIA LTDA"/>
    <s v="04/06/2024"/>
    <s v="10/06/2024"/>
    <n v="52115"/>
    <s v="Verificar - Dados do Produto"/>
    <n v="838.1"/>
    <n v="1.04101"/>
    <s v="Serviço"/>
    <s v="ONCO VIDA INSTITUTO ESPECIALIZADO DE ONCOLOGIA S.A"/>
    <x v="9"/>
    <d v="2024-06-12T00:00:00"/>
    <x v="0"/>
    <m/>
  </r>
  <r>
    <x v="1"/>
    <n v="782189"/>
    <x v="0"/>
    <x v="18"/>
    <s v="B2R COMERCIALIZADORA DE ENERGIA LTDA"/>
    <s v="03/06/2024"/>
    <s v="10/06/2024"/>
    <n v="6154"/>
    <s v="Analisar - Lançamento Fiscal"/>
    <n v="11692.02"/>
    <n v="1.07602"/>
    <s v="Material"/>
    <s v="CAM - CLINICA DE ASSISTENCIA A MULHER LTDA"/>
    <x v="9"/>
    <d v="2024-06-12T00:00:00"/>
    <x v="0"/>
    <m/>
  </r>
  <r>
    <x v="2"/>
    <n v="780829"/>
    <x v="0"/>
    <x v="19"/>
    <s v="SURE LOGISTICA EIRELI"/>
    <s v="31/05/2024"/>
    <s v="10/06/2024"/>
    <n v="103417"/>
    <s v="Analisar - Erro - Criação de Medição"/>
    <n v="5310"/>
    <n v="1.06501"/>
    <s v="CTe"/>
    <s v="IRA INSTITUTO ROBERTO ALVARENGA LTDA"/>
    <x v="9"/>
    <d v="2024-06-12T00:00:00"/>
    <x v="0"/>
    <m/>
  </r>
  <r>
    <x v="3"/>
    <n v="781158"/>
    <x v="0"/>
    <x v="20"/>
    <s v="ROI LATAM ASSESSORIA E CONSULTORIA LTDA"/>
    <s v="03/06/2024"/>
    <s v="12/06/2024"/>
    <n v="50"/>
    <s v="Analisar - Erro ao Buscar Pedido de Compra Referente a Medição"/>
    <n v="8400"/>
    <n v="1.0010399999999999"/>
    <s v="Serviço"/>
    <s v="ONCOCLINICAS DO BRASIL SERVICOS MEDICOS SA"/>
    <x v="11"/>
    <d v="2024-06-12T00:00:00"/>
    <x v="0"/>
    <m/>
  </r>
  <r>
    <x v="1"/>
    <n v="789145"/>
    <x v="0"/>
    <x v="21"/>
    <s v="CETEM BIOENGENHARIA LTDA_x0009_"/>
    <s v="16/05/2024"/>
    <s v="26/05/2024"/>
    <n v="5197"/>
    <s v="Analisar - Lançamento Fiscal"/>
    <n v="550"/>
    <n v="1.0740099999999999"/>
    <s v="Serviço"/>
    <s v="COMPLEXO HOSPITALAR UBERLANDIA S.A"/>
    <x v="6"/>
    <d v="2024-06-12T00:00:00"/>
    <x v="0"/>
    <m/>
  </r>
  <r>
    <x v="4"/>
    <n v="2050015"/>
    <x v="1"/>
    <x v="22"/>
    <s v="Gabriel Paes Maiello"/>
    <s v="23/06/2023"/>
    <d v="2024-05-06T00:00:00"/>
    <m/>
    <s v="Avaliar e Gerar Título"/>
    <m/>
    <m/>
    <s v="2023/06/20 - N - 00101 - CSO - BH"/>
    <m/>
    <x v="12"/>
    <d v="2024-06-12T00:00:00"/>
    <x v="0"/>
    <m/>
  </r>
  <r>
    <x v="5"/>
    <n v="2160235"/>
    <x v="1"/>
    <x v="22"/>
    <s v="Jessik Frizzera Barbosa"/>
    <s v="01/09/2023"/>
    <d v="2024-04-06T00:00:00"/>
    <m/>
    <s v="Avaliar e Gerar Título"/>
    <m/>
    <m/>
    <s v="2023/09/15 - N - Medquimheo - Matriz"/>
    <m/>
    <x v="13"/>
    <d v="2024-06-12T00:00:00"/>
    <x v="0"/>
    <m/>
  </r>
  <r>
    <x v="6"/>
    <n v="2459582"/>
    <x v="1"/>
    <x v="22"/>
    <s v="Silvano Gomes da Silva"/>
    <s v="21/02/2024"/>
    <d v="2024-05-06T00:00:00"/>
    <m/>
    <s v="Avaliar e Gerar Título"/>
    <m/>
    <m/>
    <s v="2024/02/22 - N - CTTB"/>
    <m/>
    <x v="12"/>
    <d v="2024-06-12T00:00:00"/>
    <x v="0"/>
    <m/>
  </r>
  <r>
    <x v="0"/>
    <n v="2496948"/>
    <x v="1"/>
    <x v="23"/>
    <s v="Integrador Fluig"/>
    <s v="12/03/2024"/>
    <d v="2024-06-06T00:00:00"/>
    <m/>
    <s v="Preencher Solicitação"/>
    <m/>
    <m/>
    <s v="11 Junho, 2024 - Victoria Isis Ferreira de Paula"/>
    <m/>
    <x v="14"/>
    <d v="2024-06-12T00:00:00"/>
    <x v="0"/>
    <m/>
  </r>
  <r>
    <x v="7"/>
    <n v="2496950"/>
    <x v="1"/>
    <x v="23"/>
    <s v="Integrador Fluig"/>
    <s v="12/03/2024"/>
    <d v="2024-06-06T00:00:00"/>
    <m/>
    <s v="Preencher Solicitação"/>
    <m/>
    <m/>
    <s v="5 Junho, 2024 - Integrador Fluig"/>
    <m/>
    <x v="14"/>
    <d v="2024-06-12T00:00:00"/>
    <x v="0"/>
    <m/>
  </r>
  <r>
    <x v="8"/>
    <n v="2501480"/>
    <x v="1"/>
    <x v="23"/>
    <s v="Integrador Fluig"/>
    <s v="14/03/2024"/>
    <d v="2024-06-06T00:00:00"/>
    <m/>
    <s v="Preencher Solicitação"/>
    <m/>
    <m/>
    <s v="5 Junho, 2024 - Integrador Fluig"/>
    <m/>
    <x v="14"/>
    <d v="2024-06-12T00:00:00"/>
    <x v="0"/>
    <m/>
  </r>
  <r>
    <x v="9"/>
    <n v="2557241"/>
    <x v="1"/>
    <x v="23"/>
    <s v="Integrador Fluig"/>
    <s v="11/04/2024"/>
    <d v="2024-06-06T00:00:00"/>
    <m/>
    <s v="Preencher Solicitação"/>
    <m/>
    <m/>
    <s v="5 Junho, 2024 - Integrador Fluig"/>
    <m/>
    <x v="14"/>
    <d v="2024-06-12T00:00:00"/>
    <x v="0"/>
    <m/>
  </r>
  <r>
    <x v="4"/>
    <n v="2563623"/>
    <x v="1"/>
    <x v="23"/>
    <s v="Integrador Fluig"/>
    <s v="15/04/2024"/>
    <d v="2024-06-06T00:00:00"/>
    <m/>
    <s v="Preencher Solicitação"/>
    <m/>
    <m/>
    <s v="5 Junho, 2024 - Integrador Fluig"/>
    <m/>
    <x v="14"/>
    <d v="2024-06-12T00:00:00"/>
    <x v="0"/>
    <m/>
  </r>
  <r>
    <x v="0"/>
    <n v="2582874"/>
    <x v="1"/>
    <x v="22"/>
    <s v="Samantha de Souza Santos"/>
    <s v="24/04/2024"/>
    <d v="2024-05-06T00:00:00"/>
    <m/>
    <s v="Avaliar e Gerar Título"/>
    <m/>
    <m/>
    <s v="2024/04/26 - N - UMC - UBERLANDIA MEDICAL CENTER"/>
    <m/>
    <x v="12"/>
    <d v="2024-06-12T00:00:00"/>
    <x v="0"/>
    <m/>
  </r>
  <r>
    <x v="7"/>
    <n v="2593666"/>
    <x v="1"/>
    <x v="22"/>
    <s v="Thays Antunes de Souza Goncalves"/>
    <s v="30/04/2024"/>
    <d v="2024-05-06T00:00:00"/>
    <m/>
    <s v="Avaliar e Gerar Título"/>
    <m/>
    <m/>
    <s v="2024/05/03 - N - Aliança - Sandu"/>
    <m/>
    <x v="12"/>
    <d v="2024-06-12T00:00:00"/>
    <x v="0"/>
    <m/>
  </r>
  <r>
    <x v="8"/>
    <n v="2593675"/>
    <x v="1"/>
    <x v="22"/>
    <s v="Thays Antunes de Souza Goncalves"/>
    <s v="30/04/2024"/>
    <d v="2024-05-06T00:00:00"/>
    <m/>
    <s v="Avaliar e Gerar Título"/>
    <m/>
    <m/>
    <s v="2024/05/03 - N - COT - Araguari"/>
    <m/>
    <x v="12"/>
    <d v="2024-06-12T00:00:00"/>
    <x v="0"/>
    <m/>
  </r>
  <r>
    <x v="9"/>
    <n v="2593677"/>
    <x v="1"/>
    <x v="22"/>
    <s v="Thays Antunes de Souza Goncalves"/>
    <s v="30/04/2024"/>
    <d v="2024-06-06T00:00:00"/>
    <m/>
    <s v="Avaliar e Gerar Título"/>
    <m/>
    <m/>
    <s v="2024/05/03 - N - COT - Matriz"/>
    <m/>
    <x v="14"/>
    <d v="2024-06-12T00:00:00"/>
    <x v="0"/>
    <m/>
  </r>
  <r>
    <x v="6"/>
    <n v="2593679"/>
    <x v="1"/>
    <x v="22"/>
    <s v="Thays Antunes de Souza Goncalves"/>
    <s v="30/04/2024"/>
    <d v="2024-06-06T00:00:00"/>
    <m/>
    <s v="Avaliar e Gerar Título"/>
    <m/>
    <m/>
    <s v="2024/05/03 - N - COTE BH - CENTRO ONCOLOGICO E TRATAMENTOS ESPECIAIS LTDA"/>
    <m/>
    <x v="14"/>
    <d v="2024-06-12T00:00:00"/>
    <x v="0"/>
    <m/>
  </r>
  <r>
    <x v="4"/>
    <n v="2593682"/>
    <x v="1"/>
    <x v="22"/>
    <s v="Thays Antunes de Souza Goncalves"/>
    <s v="30/04/2024"/>
    <d v="2024-06-06T00:00:00"/>
    <m/>
    <s v="Avaliar e Gerar Título"/>
    <m/>
    <m/>
    <s v="2024/05/03 - N - CQO - The Place I"/>
    <m/>
    <x v="14"/>
    <d v="2024-06-12T00:00:00"/>
    <x v="0"/>
    <m/>
  </r>
  <r>
    <x v="5"/>
    <n v="2593683"/>
    <x v="1"/>
    <x v="22"/>
    <s v="Thays Antunes de Souza Goncalves"/>
    <s v="30/04/2024"/>
    <d v="2024-06-06T00:00:00"/>
    <m/>
    <s v="Avaliar e Gerar Título"/>
    <m/>
    <m/>
    <s v="2024/05/03 - N - RT ANÁPOLIS"/>
    <m/>
    <x v="14"/>
    <d v="2024-06-12T00:00:00"/>
    <x v="0"/>
    <m/>
  </r>
  <r>
    <x v="0"/>
    <n v="2593684"/>
    <x v="1"/>
    <x v="22"/>
    <s v="Thays Antunes de Souza Goncalves"/>
    <s v="30/04/2024"/>
    <d v="2024-06-06T00:00:00"/>
    <m/>
    <s v="Avaliar e Gerar Título"/>
    <m/>
    <m/>
    <s v="2024/05/03 - N - CTTB"/>
    <m/>
    <x v="14"/>
    <d v="2024-06-12T00:00:00"/>
    <x v="0"/>
    <m/>
  </r>
  <r>
    <x v="7"/>
    <n v="2593685"/>
    <x v="1"/>
    <x v="22"/>
    <s v="Thays Antunes de Souza Goncalves"/>
    <s v="30/04/2024"/>
    <d v="2024-06-06T00:00:00"/>
    <m/>
    <s v="Avaliar e Gerar Título"/>
    <m/>
    <m/>
    <s v="2024/05/03 - N - CPO SP - Faria Lima (10º andar)"/>
    <m/>
    <x v="14"/>
    <d v="2024-06-12T00:00:00"/>
    <x v="0"/>
    <m/>
  </r>
  <r>
    <x v="8"/>
    <n v="2593686"/>
    <x v="1"/>
    <x v="22"/>
    <s v="Thays Antunes de Souza Goncalves"/>
    <s v="30/04/2024"/>
    <d v="2024-06-06T00:00:00"/>
    <m/>
    <s v="Avaliar e Gerar Título"/>
    <m/>
    <m/>
    <s v="2024/05/03 - N - IHOC"/>
    <m/>
    <x v="14"/>
    <d v="2024-06-12T00:00:00"/>
    <x v="0"/>
    <m/>
  </r>
  <r>
    <x v="9"/>
    <n v="2593690"/>
    <x v="1"/>
    <x v="22"/>
    <s v="Thays Antunes de Souza Goncalves"/>
    <s v="30/04/2024"/>
    <d v="2024-06-06T00:00:00"/>
    <m/>
    <s v="Avaliar e Gerar Título"/>
    <m/>
    <m/>
    <s v="2024/05/03 - N - Multihemo - Matriz"/>
    <m/>
    <x v="14"/>
    <d v="2024-06-12T00:00:00"/>
    <x v="0"/>
    <m/>
  </r>
  <r>
    <x v="6"/>
    <n v="2593692"/>
    <x v="1"/>
    <x v="22"/>
    <s v="Thays Antunes de Souza Goncalves"/>
    <s v="30/04/2024"/>
    <d v="2024-06-06T00:00:00"/>
    <m/>
    <s v="Avaliar e Gerar Título"/>
    <m/>
    <m/>
    <s v="2024/05/03 - N - Leste Fluminense - Matriz"/>
    <m/>
    <x v="14"/>
    <d v="2024-06-12T00:00:00"/>
    <x v="0"/>
    <m/>
  </r>
  <r>
    <x v="4"/>
    <n v="2593694"/>
    <x v="1"/>
    <x v="22"/>
    <s v="Thays Antunes de Souza Goncalves"/>
    <s v="30/04/2024"/>
    <d v="2024-06-06T00:00:00"/>
    <m/>
    <s v="Avaliar e Gerar Título"/>
    <m/>
    <m/>
    <s v="2024/05/03 - N - ONCOCLÍNICAS - Neon - Filial Serra"/>
    <m/>
    <x v="14"/>
    <d v="2024-06-12T00:00:00"/>
    <x v="0"/>
    <m/>
  </r>
  <r>
    <x v="5"/>
    <n v="2593695"/>
    <x v="1"/>
    <x v="22"/>
    <s v="Thays Antunes de Souza Goncalves"/>
    <s v="30/04/2024"/>
    <d v="2024-05-06T00:00:00"/>
    <m/>
    <s v="Avaliar e Gerar Título"/>
    <m/>
    <m/>
    <s v="2024/05/03 - N - NOB - Lauro de Freitas"/>
    <m/>
    <x v="12"/>
    <d v="2024-06-12T00:00:00"/>
    <x v="0"/>
    <m/>
  </r>
  <r>
    <x v="0"/>
    <n v="2593696"/>
    <x v="1"/>
    <x v="22"/>
    <s v="Thays Antunes de Souza Goncalves"/>
    <s v="30/04/2024"/>
    <d v="2024-05-06T00:00:00"/>
    <m/>
    <s v="Avaliar e Gerar Título"/>
    <m/>
    <m/>
    <s v="2024/05/03 - N - NOS"/>
    <m/>
    <x v="12"/>
    <d v="2024-06-12T00:00:00"/>
    <x v="0"/>
    <m/>
  </r>
  <r>
    <x v="7"/>
    <n v="2593698"/>
    <x v="1"/>
    <x v="22"/>
    <s v="Thays Antunes de Souza Goncalves"/>
    <s v="30/04/2024"/>
    <d v="2024-05-06T00:00:00"/>
    <m/>
    <s v="Avaliar e Gerar Título"/>
    <m/>
    <m/>
    <s v="2024/05/03 - N - Oncovida"/>
    <m/>
    <x v="12"/>
    <d v="2024-06-12T00:00:00"/>
    <x v="0"/>
    <m/>
  </r>
  <r>
    <x v="8"/>
    <n v="2593699"/>
    <x v="1"/>
    <x v="22"/>
    <s v="Thays Antunes de Souza Goncalves"/>
    <s v="30/04/2024"/>
    <d v="2024-05-06T00:00:00"/>
    <m/>
    <s v="Avaliar e Gerar Título"/>
    <m/>
    <m/>
    <s v="2024/05/03 - N - PRO ONCO LONDRINA"/>
    <m/>
    <x v="12"/>
    <d v="2024-06-12T00:00:00"/>
    <x v="0"/>
    <m/>
  </r>
  <r>
    <x v="9"/>
    <n v="2593702"/>
    <x v="1"/>
    <x v="22"/>
    <s v="Thays Antunes de Souza Goncalves"/>
    <s v="30/04/2024"/>
    <d v="2024-05-06T00:00:00"/>
    <m/>
    <s v="Avaliar e Gerar Título"/>
    <m/>
    <m/>
    <s v="2024/05/03 - N - UGF - Florianópolis"/>
    <m/>
    <x v="12"/>
    <d v="2024-06-12T00:00:00"/>
    <x v="0"/>
    <m/>
  </r>
  <r>
    <x v="6"/>
    <n v="2593705"/>
    <x v="1"/>
    <x v="22"/>
    <s v="Thays Antunes de Souza Goncalves"/>
    <s v="30/04/2024"/>
    <d v="2024-05-06T00:00:00"/>
    <m/>
    <s v="Avaliar e Gerar Título"/>
    <m/>
    <m/>
    <s v="2024/05/03 - N - NOB - Ondina"/>
    <m/>
    <x v="12"/>
    <d v="2024-06-12T00:00:00"/>
    <x v="0"/>
    <m/>
  </r>
  <r>
    <x v="4"/>
    <n v="2603419"/>
    <x v="1"/>
    <x v="22"/>
    <s v="Thays Antunes de Souza Goncalves"/>
    <s v="06/05/2024"/>
    <d v="2024-05-06T00:00:00"/>
    <m/>
    <s v="Avaliar e Gerar Título"/>
    <m/>
    <m/>
    <s v="2024/05/07 - N - Núcleo de Hematologia e Oncologia II"/>
    <m/>
    <x v="12"/>
    <d v="2024-06-12T00:00:00"/>
    <x v="0"/>
    <m/>
  </r>
  <r>
    <x v="5"/>
    <n v="2607704"/>
    <x v="1"/>
    <x v="22"/>
    <s v="Samantha de Souza Santos"/>
    <s v="07/05/2024"/>
    <d v="2024-05-06T00:00:00"/>
    <m/>
    <s v="Avaliar e Gerar Título"/>
    <m/>
    <m/>
    <s v="2024/05/10 - N - UMC - UBERLANDIA MEDICAL CENTER"/>
    <m/>
    <x v="12"/>
    <d v="2024-06-12T00:00:00"/>
    <x v="0"/>
    <m/>
  </r>
  <r>
    <x v="0"/>
    <n v="2611145"/>
    <x v="1"/>
    <x v="23"/>
    <s v="Integrador Fluig"/>
    <s v="08/05/2024"/>
    <d v="2024-06-06T00:00:00"/>
    <m/>
    <s v="Preencher Solicitação"/>
    <m/>
    <m/>
    <s v="5 Junho, 2024 - Integrador Fluig"/>
    <m/>
    <x v="14"/>
    <d v="2024-06-12T00:00:00"/>
    <x v="0"/>
    <m/>
  </r>
  <r>
    <x v="6"/>
    <n v="2800513"/>
    <x v="1"/>
    <x v="23"/>
    <s v="Integrador Fluig"/>
    <s v="20/05/2024"/>
    <d v="2024-06-06T00:00:00"/>
    <m/>
    <s v="Preencher Solicitação"/>
    <m/>
    <m/>
    <s v="5 Junho, 2024 - Integrador Fluig"/>
    <m/>
    <x v="14"/>
    <d v="2024-06-12T00:00:00"/>
    <x v="0"/>
    <m/>
  </r>
  <r>
    <x v="9"/>
    <n v="2523668"/>
    <x v="1"/>
    <x v="24"/>
    <s v="Josielmo Rodrigues Santos"/>
    <s v="27/03/2024"/>
    <d v="2024-03-04T00:00:00"/>
    <m/>
    <s v="Analisar/Atender Solicitação"/>
    <m/>
    <m/>
    <s v="N - NOS - Verificação de emissão de NFA"/>
    <m/>
    <x v="15"/>
    <d v="2024-06-12T00:00:00"/>
    <x v="0"/>
    <m/>
  </r>
  <r>
    <x v="0"/>
    <n v="780671"/>
    <x v="0"/>
    <x v="25"/>
    <s v="COMERCIAL ELETRICA TRIANGULO LTDA"/>
    <s v="31/05/2024"/>
    <s v="28/06/2024"/>
    <n v="132173"/>
    <s v="Verificar - Dados do Produto"/>
    <n v="18660"/>
    <n v="1.0740099999999999"/>
    <s v="Material"/>
    <s v="COMPLEXO HOSPITALAR UBERLANDIA S.A"/>
    <x v="16"/>
    <d v="2024-06-12T00:00:00"/>
    <x v="0"/>
    <m/>
  </r>
  <r>
    <x v="1"/>
    <n v="780651"/>
    <x v="0"/>
    <x v="26"/>
    <s v="DIVERSA DISTRIBUICAO, COMERCIALIZACAO E LOCACAO LTDA"/>
    <s v="31/05/2024"/>
    <s v="30/06/2024"/>
    <n v="20397"/>
    <s v="Analisar - Lançamento Fiscal"/>
    <n v="1504.32"/>
    <n v="1.0740099999999999"/>
    <s v="Material"/>
    <s v="COMPLEXO HOSPITALAR UBERLANDIA S.A"/>
    <x v="16"/>
    <d v="2024-06-12T00:00:00"/>
    <x v="0"/>
    <m/>
  </r>
  <r>
    <x v="2"/>
    <n v="780168"/>
    <x v="0"/>
    <x v="27"/>
    <s v="LOJA ELETRICA LIMITADA_x0009_"/>
    <s v="29/05/2024"/>
    <s v="26/06/2024"/>
    <n v="333041"/>
    <s v="Analisar - Lançamento Fiscal"/>
    <n v="522.29999999999995"/>
    <n v="1.0740099999999999"/>
    <s v="Material"/>
    <s v="COMPLEXO HOSPITALAR UBERLANDIA S.A"/>
    <x v="17"/>
    <d v="2024-06-12T00:00:00"/>
    <x v="0"/>
    <m/>
  </r>
  <r>
    <x v="0"/>
    <n v="779111"/>
    <x v="0"/>
    <x v="28"/>
    <s v="COMERCIAL ELETRICA TRIANGULO LTDA"/>
    <s v="27/05/2024"/>
    <s v="24/06/2024"/>
    <n v="132079"/>
    <s v="Analisar - Erro - Criação de Medição"/>
    <n v="370"/>
    <n v="1.0740099999999999"/>
    <s v="Material"/>
    <s v="COMPLEXO HOSPITALAR UBERLANDIA S.A"/>
    <x v="18"/>
    <d v="2024-06-12T00:00:00"/>
    <x v="0"/>
    <m/>
  </r>
  <r>
    <x v="3"/>
    <n v="778635"/>
    <x v="0"/>
    <x v="29"/>
    <s v="GERDAU ACOS LONGOS SA"/>
    <s v="25/05/2024"/>
    <s v="15/06/2024"/>
    <n v="45706"/>
    <s v="Verificar - Dados do Produto"/>
    <n v="28176.68"/>
    <n v="1.0480100000000001"/>
    <s v="Material"/>
    <s v="CENTRO DE TRATAMENTO DE TUMORES BOTAFOGO S.A. "/>
    <x v="19"/>
    <d v="2024-06-12T00:00:00"/>
    <x v="0"/>
    <m/>
  </r>
  <r>
    <x v="0"/>
    <n v="777626"/>
    <x v="0"/>
    <x v="30"/>
    <s v="FAMAP NUTRICAO PARENTERAL LTDA"/>
    <s v="24/05/2024"/>
    <s v="21/06/2024"/>
    <n v="413656"/>
    <s v="Analisar - Erro - Criação de Medição"/>
    <n v="948.53"/>
    <n v="1.02901"/>
    <s v="Material"/>
    <s v="ONCOBIO SERVICOS DE SAUDE AS"/>
    <x v="20"/>
    <d v="2024-06-12T00:00:00"/>
    <x v="0"/>
    <m/>
  </r>
  <r>
    <x v="0"/>
    <n v="768243"/>
    <x v="0"/>
    <x v="31"/>
    <s v="FAMAP NUTRICAO PARENTERAL LTDA"/>
    <s v="17/05/2024"/>
    <s v="14/06/2024"/>
    <n v="412828"/>
    <s v="Analisar - Erro - Criação de Medição"/>
    <n v="2117.4499999999998"/>
    <n v="1.02901"/>
    <s v="Material"/>
    <s v="ONCOBIO SERVICOS DE SAUDE AS"/>
    <x v="19"/>
    <d v="2024-06-12T00:00:00"/>
    <x v="0"/>
    <m/>
  </r>
  <r>
    <x v="2"/>
    <n v="762092"/>
    <x v="0"/>
    <x v="32"/>
    <s v="BLUEBERRY SERVICOS DE PROMOCOES E EVENTOS LTDA"/>
    <s v="14/05/2024"/>
    <s v="14/06/2024"/>
    <n v="524"/>
    <s v="Analisar - Lançamento Fiscal"/>
    <n v="616.32000000000005"/>
    <n v="1.0900099999999999"/>
    <s v="Serviço"/>
    <s v="CETTRO - CENTRO DE TRATAMENTO ONCOLOGICO LTDA"/>
    <x v="19"/>
    <d v="2024-06-12T00:00:00"/>
    <x v="0"/>
    <m/>
  </r>
  <r>
    <x v="0"/>
    <n v="755697"/>
    <x v="0"/>
    <x v="33"/>
    <s v="ARQRIO REVESTIMENTOS E EQUIPAMENTOS LTDA"/>
    <s v="09/05/2024"/>
    <s v="13/06/2024"/>
    <n v="413"/>
    <s v="Verificar - Dados do Produto"/>
    <n v="16243.81"/>
    <n v="1.0480100000000001"/>
    <s v="Serviço"/>
    <s v="CENTRO DE TRATAMENTO DE TUMORES BOTAFOGO S.A. "/>
    <x v="21"/>
    <d v="2024-06-12T00:00:00"/>
    <x v="0"/>
    <m/>
  </r>
  <r>
    <x v="2"/>
    <n v="751919"/>
    <x v="0"/>
    <x v="34"/>
    <s v="ICTS GLOBAL DO BRASIL LTDA."/>
    <s v="06/05/2024"/>
    <s v="20/06/2024"/>
    <n v="58194"/>
    <s v="Analisar - Erro - Criação de Medição"/>
    <n v="26150"/>
    <n v="1.0010399999999999"/>
    <s v="Serviço"/>
    <s v="ONCOCLINICAS DO BRASIL SERVICOS MEDICOS SA"/>
    <x v="22"/>
    <d v="2024-06-12T00:00:00"/>
    <x v="0"/>
    <m/>
  </r>
  <r>
    <x v="1"/>
    <n v="749650"/>
    <x v="0"/>
    <x v="35"/>
    <s v="DIGITAL TRIX COMUNICACAO LTDA."/>
    <s v="02/05/2024"/>
    <s v="20/06/2024"/>
    <n v="2483"/>
    <s v="Analisar - Lançamento Fiscal"/>
    <n v="4000"/>
    <n v="1.0100100000000001"/>
    <s v="Serviço"/>
    <s v="CENTRO PAULISTA DE ONCOLOGIA S.A. "/>
    <x v="22"/>
    <d v="2024-06-12T00:00:00"/>
    <x v="0"/>
    <m/>
  </r>
  <r>
    <x v="2"/>
    <n v="748934"/>
    <x v="0"/>
    <x v="36"/>
    <s v="3778 TECNOLOGIA LTDA."/>
    <s v="02/05/2024"/>
    <s v="15/06/2024"/>
    <n v="202423"/>
    <s v="Verificar - Dados do Produto"/>
    <n v="96354.44"/>
    <n v="1.0010399999999999"/>
    <s v="Serviço"/>
    <s v="ONCOCLINICAS DO BRASIL SERVICOS MEDICOS SA"/>
    <x v="19"/>
    <d v="2024-06-12T00:00:00"/>
    <x v="0"/>
    <m/>
  </r>
  <r>
    <x v="0"/>
    <n v="791005"/>
    <x v="0"/>
    <x v="37"/>
    <s v="51.539.447 WASHINGTON LUIZ SANTOS DANTAS"/>
    <s v="11/06/2024"/>
    <s v="13/06/2024"/>
    <n v="16"/>
    <s v="Analisar - Lançamento Fiscal"/>
    <n v="2860"/>
    <n v="1.07701"/>
    <s v="Serviço"/>
    <s v="CLION CLINICA DE ONCOLOGIA LTDA"/>
    <x v="21"/>
    <d v="2024-06-12T00:00:00"/>
    <x v="0"/>
    <m/>
  </r>
  <r>
    <x v="1"/>
    <n v="789146"/>
    <x v="0"/>
    <x v="38"/>
    <s v="TOXILAB LABORATORIO DE ANALISES LTDA"/>
    <s v="10/06/2024"/>
    <s v="13/06/2024"/>
    <n v="20242352"/>
    <s v="Verificar - Dados do Produto"/>
    <n v="2750"/>
    <n v="1.01702"/>
    <s v="Serviço"/>
    <s v="CENTRO DE QUIMIOTERAPIA ONCOCLINICAS S/A "/>
    <x v="21"/>
    <d v="2024-06-12T00:00:00"/>
    <x v="0"/>
    <m/>
  </r>
  <r>
    <x v="2"/>
    <n v="790943"/>
    <x v="0"/>
    <x v="39"/>
    <s v="REUMASTO - CLINICA MEDICA LTDA"/>
    <s v="11/06/2024"/>
    <s v="14/06/2024"/>
    <n v="1934"/>
    <s v="Analisar - Lançamento Fiscal"/>
    <n v="2337.35"/>
    <n v="1.1020099999999999"/>
    <s v="Serviço"/>
    <s v="ONCO CARE PRUDENTE"/>
    <x v="19"/>
    <d v="2024-06-12T00:00:00"/>
    <x v="0"/>
    <m/>
  </r>
  <r>
    <x v="3"/>
    <n v="790904"/>
    <x v="0"/>
    <x v="40"/>
    <s v="SA SOLUCOES EM INFORMATICA LTDA"/>
    <s v="10/06/2024"/>
    <s v="14/06/2024"/>
    <n v="1493"/>
    <s v="Analisar - Lançamento Fiscal"/>
    <n v="1298.1400000000001"/>
    <n v="1.06501"/>
    <s v="Serviço"/>
    <s v="IRA INSTITUTO ROBERTO ALVARENGA LTDA"/>
    <x v="19"/>
    <d v="2024-06-12T00:00:00"/>
    <x v="0"/>
    <m/>
  </r>
  <r>
    <x v="0"/>
    <n v="789229"/>
    <x v="0"/>
    <x v="41"/>
    <s v="COLEGIO BRASILEIRO DE RADIOLOGIA E DIAGNOSTICO POR IMAGEM"/>
    <s v="10/06/2024"/>
    <s v="14/06/2024"/>
    <n v="35274"/>
    <s v="Analisar - Lançamento Fiscal"/>
    <n v="3458"/>
    <n v="1.0840099999999999"/>
    <s v="Serviço"/>
    <s v="UMC IMAGEM LTDA"/>
    <x v="19"/>
    <d v="2024-06-12T00:00:00"/>
    <x v="0"/>
    <m/>
  </r>
  <r>
    <x v="2"/>
    <n v="788995"/>
    <x v="0"/>
    <x v="42"/>
    <s v="PROLAB - LABORATORIO DE BIOTECNOLOGIA S/S LTDA - EPP"/>
    <s v="10/06/2024"/>
    <s v="02/07/2024"/>
    <n v="29795"/>
    <s v="Analisar - Lançamento Fiscal"/>
    <n v="1196.54"/>
    <n v="1.01502"/>
    <s v="Serviço"/>
    <s v="NUCLEO DE ONCOLOGIA DA BAHIA S.A "/>
    <x v="23"/>
    <d v="2024-06-12T00:00:00"/>
    <x v="0"/>
    <m/>
  </r>
  <r>
    <x v="3"/>
    <n v="788477"/>
    <x v="0"/>
    <x v="43"/>
    <s v="REALMAR DISTRIBUIDORA LTDA"/>
    <s v="07/06/2024"/>
    <s v="14/06/2024"/>
    <n v="128172"/>
    <s v="Analisar - Lançamento Fiscal"/>
    <n v="557.80999999999995"/>
    <n v="1.09701"/>
    <s v="Material"/>
    <s v="IMUNOMED CLINICA DE INFUSAO E ESPECIALIDADES S/A"/>
    <x v="19"/>
    <d v="2024-06-12T00:00:00"/>
    <x v="0"/>
    <m/>
  </r>
  <r>
    <x v="0"/>
    <n v="784466"/>
    <x v="0"/>
    <x v="44"/>
    <s v="LONDRILAV LAVANDERIA INDUSTRIAL E HOSPITALAR - EIRELI"/>
    <s v="04/06/2024"/>
    <s v="25/06/2024"/>
    <n v="4121"/>
    <s v="Verificar - Dados do Produto"/>
    <n v="451.49"/>
    <n v="1.05501"/>
    <s v="Serviço"/>
    <s v="PRO-ONCO - CENTRO DE TRATAMENTO ONCOLOGICO S.A."/>
    <x v="24"/>
    <d v="2024-06-12T00:00:00"/>
    <x v="0"/>
    <m/>
  </r>
  <r>
    <x v="0"/>
    <n v="784458"/>
    <x v="0"/>
    <x v="45"/>
    <s v="LONDRILAV LAVANDERIA INDUSTRIAL E HOSPITALAR - EIRELI"/>
    <s v="04/06/2024"/>
    <s v="18/06/2024"/>
    <n v="4120"/>
    <s v="Verificar - Dados do Produto"/>
    <n v="190.5"/>
    <n v="1.05501"/>
    <s v="Serviço"/>
    <s v="PRO-ONCO - CENTRO DE TRATAMENTO ONCOLOGICO S.A."/>
    <x v="25"/>
    <d v="2024-06-12T00:00:00"/>
    <x v="0"/>
    <m/>
  </r>
  <r>
    <x v="0"/>
    <n v="784455"/>
    <x v="0"/>
    <x v="46"/>
    <s v="LONDRILAV LAVANDERIA INDUSTRIAL E HOSPITALAR - EIRELI"/>
    <s v="04/06/2024"/>
    <s v="14/06/2024"/>
    <n v="4119"/>
    <s v="Verificar - Dados do Produto"/>
    <n v="276.86"/>
    <n v="1.05501"/>
    <s v="Serviço"/>
    <s v="PRO-ONCO - CENTRO DE TRATAMENTO ONCOLOGICO S.A."/>
    <x v="19"/>
    <d v="2024-06-12T00:00:00"/>
    <x v="0"/>
    <m/>
  </r>
  <r>
    <x v="1"/>
    <n v="783195"/>
    <x v="0"/>
    <x v="47"/>
    <s v="NEOKOROS BRASIL LTDA"/>
    <s v="04/06/2024"/>
    <s v="14/06/2024"/>
    <n v="8136"/>
    <s v="Aguardando Classificação da Nota"/>
    <n v="1887"/>
    <n v="1.07101"/>
    <s v="Serviço"/>
    <s v="CENTRO BRASILEIRO DE RADIOTERAPIA ONCOLOGIA E MASTOLOGIA - CEBROM LTDA"/>
    <x v="19"/>
    <d v="2024-06-12T00:00:00"/>
    <x v="0"/>
    <m/>
  </r>
  <r>
    <x v="2"/>
    <n v="782751"/>
    <x v="0"/>
    <x v="48"/>
    <s v="PBRASIL FOODS SERVICE LTDA"/>
    <s v="04/06/2024"/>
    <s v="14/06/2024"/>
    <n v="1342"/>
    <s v="Verificar - Dados do Produto"/>
    <n v="1323"/>
    <n v="1.04301"/>
    <s v="Material"/>
    <s v="RADIOCARE SERVICOS MEDICOS ESPECIALIZADOS LTDA "/>
    <x v="19"/>
    <d v="2024-06-12T00:00:00"/>
    <x v="0"/>
    <m/>
  </r>
  <r>
    <x v="3"/>
    <n v="782590"/>
    <x v="0"/>
    <x v="49"/>
    <s v="LOGOL SISTEMAS PREDIAIS LTDA"/>
    <s v="03/06/2024"/>
    <s v="14/06/2024"/>
    <n v="1335"/>
    <s v="Analisar - Lançamento Fiscal"/>
    <n v="2600"/>
    <n v="1.0340100000000001"/>
    <s v="Serviço"/>
    <s v="RADIOTERAPIA ONCOCLINICAS RECIFE LTDA"/>
    <x v="19"/>
    <d v="2024-06-12T00:00:00"/>
    <x v="0"/>
    <m/>
  </r>
  <r>
    <x v="0"/>
    <n v="781705"/>
    <x v="0"/>
    <x v="50"/>
    <s v="FERNANDO ROSARIO LESSA 01984862510"/>
    <s v="03/06/2024"/>
    <s v="14/06/2024"/>
    <n v="2423"/>
    <s v="Analisar - Lançamento Fiscal"/>
    <n v="165.6"/>
    <n v="1.01502"/>
    <s v="Material"/>
    <s v="NUCLEO DE ONCOLOGIA DA BAHIA S.A "/>
    <x v="19"/>
    <d v="2024-06-12T00:00:00"/>
    <x v="0"/>
    <m/>
  </r>
  <r>
    <x v="1"/>
    <n v="781687"/>
    <x v="0"/>
    <x v="51"/>
    <s v="FRONT TV COMUNICACAO S.A._x0009_"/>
    <s v="03/06/2024"/>
    <s v="14/06/2024"/>
    <n v="20245"/>
    <s v="Analisar - Erro ao Buscar Pedido de Compra Referente a Medição"/>
    <n v="20207.88"/>
    <n v="1.0010399999999999"/>
    <s v="Serviço"/>
    <s v="ONCOCLINICAS DO BRASIL SERVICOS MEDICOS SA"/>
    <x v="19"/>
    <d v="2024-06-12T00:00:00"/>
    <x v="0"/>
    <m/>
  </r>
  <r>
    <x v="2"/>
    <n v="780866"/>
    <x v="0"/>
    <x v="52"/>
    <s v="LETICIA DE REZENDE LEITE 15608661796_x0009_"/>
    <s v="01/06/2024"/>
    <s v="14/06/2024"/>
    <n v="9068761"/>
    <s v="Analisar - Erro - Integração de Pré Nota"/>
    <n v="755"/>
    <n v="1.0480100000000001"/>
    <s v="Material"/>
    <s v="CENTRO DE TRATAMENTO DE TUMORES BOTAFOGO S.A. "/>
    <x v="19"/>
    <d v="2024-06-12T00:00:00"/>
    <x v="0"/>
    <m/>
  </r>
  <r>
    <x v="3"/>
    <n v="790958"/>
    <x v="0"/>
    <x v="53"/>
    <s v="GUARD - GERENCIAMENTO E GUARDA DE DOCUMENTOS LTDA - ME"/>
    <s v="11/06/2024"/>
    <s v="15/06/2024"/>
    <n v="7684"/>
    <s v="Verificar - Dados do Produto"/>
    <n v="1044.0999999999999"/>
    <n v="1.06501"/>
    <s v="Serviço"/>
    <s v="IRA INSTITUTO ROBERTO ALVARENGA LTDA"/>
    <x v="19"/>
    <d v="2024-06-12T00:00:00"/>
    <x v="0"/>
    <m/>
  </r>
  <r>
    <x v="0"/>
    <n v="787501"/>
    <x v="0"/>
    <x v="54"/>
    <s v="LF RADIOTERAPIA LTDA_x0009_"/>
    <s v="07/06/2024"/>
    <s v="15/06/2024"/>
    <n v="59"/>
    <s v="Verificar - Dados do Produto"/>
    <n v="18481.57"/>
    <n v="1.0720099999999999"/>
    <s v="Serviço"/>
    <s v="CTR CENTRO DE TRATAMENTO RADIOTERAPICO LTDA"/>
    <x v="19"/>
    <d v="2024-06-12T00:00:00"/>
    <x v="0"/>
    <m/>
  </r>
  <r>
    <x v="1"/>
    <n v="784576"/>
    <x v="0"/>
    <x v="55"/>
    <s v="TELEDATA COMERCIO E SERVICOS LTDA - CONTRATO 01_x0009_"/>
    <s v="03/06/2024"/>
    <s v="15/06/2024"/>
    <n v="36284"/>
    <s v="Verificar - Dados do Produto"/>
    <n v="7649.76"/>
    <n v="1.07602"/>
    <s v="Serviço"/>
    <s v="CAM - CLINICA DE ASSISTENCIA A MULHER LTDA"/>
    <x v="19"/>
    <d v="2024-06-12T00:00:00"/>
    <x v="0"/>
    <m/>
  </r>
  <r>
    <x v="1"/>
    <n v="784574"/>
    <x v="0"/>
    <x v="56"/>
    <s v="TELEDATA COMERCIO E SERVICOS LTDA - CONTRATO 01_x0009_"/>
    <s v="03/06/2024"/>
    <s v="15/06/2024"/>
    <n v="36283"/>
    <s v="Verificar - Dados do Produto"/>
    <n v="843.23"/>
    <n v="1.07602"/>
    <s v="Serviço"/>
    <s v="CAM - CLINICA DE ASSISTENCIA A MULHER LTDA"/>
    <x v="19"/>
    <d v="2024-06-12T00:00:00"/>
    <x v="0"/>
    <m/>
  </r>
  <r>
    <x v="1"/>
    <n v="784572"/>
    <x v="0"/>
    <x v="57"/>
    <s v="TELEDATA COMERCIO E SERVICOS LTDA - CONTRATO 01_x0009_"/>
    <s v="03/06/2024"/>
    <s v="15/06/2024"/>
    <n v="36282"/>
    <s v="Verificar - Dados do Produto"/>
    <n v="1431.7"/>
    <n v="1.07602"/>
    <s v="Serviço"/>
    <s v="CAM - CLINICA DE ASSISTENCIA A MULHER LTDA"/>
    <x v="19"/>
    <d v="2024-06-12T00:00:00"/>
    <x v="0"/>
    <m/>
  </r>
  <r>
    <x v="1"/>
    <n v="784565"/>
    <x v="0"/>
    <x v="58"/>
    <s v="TELEDATA COMERCIO E SERVICOS LTDA - CONTRATO 01_x0009_"/>
    <s v="03/06/2024"/>
    <s v="15/06/2024"/>
    <n v="35988"/>
    <s v="Verificar - Dados do Produto"/>
    <n v="2163.9299999999998"/>
    <n v="1.07701"/>
    <s v="Serviço"/>
    <s v="CLION CLINICA DE ONCOLOGIA LTDA"/>
    <x v="19"/>
    <d v="2024-06-12T00:00:00"/>
    <x v="0"/>
    <m/>
  </r>
  <r>
    <x v="2"/>
    <n v="784469"/>
    <x v="0"/>
    <x v="59"/>
    <s v="LA3 SOLUCOES E TECNOLOGIA LTDA"/>
    <s v="04/06/2024"/>
    <s v="15/06/2024"/>
    <n v="1306"/>
    <s v="Analisar - Lançamento Fiscal"/>
    <n v="770"/>
    <n v="1.07301"/>
    <s v="Serviço"/>
    <s v="HOSPITAL DE ONCOLOGIA DO MEIER"/>
    <x v="19"/>
    <d v="2024-06-12T00:00:00"/>
    <x v="0"/>
    <m/>
  </r>
  <r>
    <x v="3"/>
    <n v="781652"/>
    <x v="0"/>
    <x v="60"/>
    <s v="AIKEN SOLUTIONS SERVICOS DE INFORMATICA LTDA"/>
    <s v="03/06/2024"/>
    <s v="15/06/2024"/>
    <n v="2939"/>
    <s v="Verificar - Dados do Produto"/>
    <n v="1584.74"/>
    <n v="1.07301"/>
    <s v="Serviço"/>
    <s v="HOSPITAL DE ONCOLOGIA DO MEIER"/>
    <x v="19"/>
    <d v="2024-06-12T00:00:00"/>
    <x v="0"/>
    <m/>
  </r>
  <r>
    <x v="0"/>
    <n v="781539"/>
    <x v="0"/>
    <x v="61"/>
    <s v="EMPRESA FOLHA DA MANHA S.A._x0009_"/>
    <s v="03/06/2024"/>
    <s v="15/06/2024"/>
    <n v="541436"/>
    <s v="Analisar - Erro - Criação de Medição"/>
    <n v="31490.78"/>
    <n v="1.0010399999999999"/>
    <s v="Serviço"/>
    <s v="ONCOCLINICAS DO BRASIL SERVICOS MEDICOS SA"/>
    <x v="19"/>
    <d v="2024-06-12T00:00:00"/>
    <x v="0"/>
    <m/>
  </r>
  <r>
    <x v="1"/>
    <n v="781098"/>
    <x v="0"/>
    <x v="62"/>
    <s v="FHL COURIER EXPRESS ENTREGA RAPIDA LTDA - ME"/>
    <s v="02/06/2024"/>
    <s v="15/06/2024"/>
    <n v="4417"/>
    <s v="Analisar - Erro ao Buscar Pedido de Compra Referente a Medição"/>
    <n v="4180"/>
    <n v="1.0010399999999999"/>
    <s v="Serviço"/>
    <s v="ONCOCLINICAS DO BRASIL SERVICOS MEDICOS SA"/>
    <x v="19"/>
    <d v="2024-06-12T00:00:00"/>
    <x v="0"/>
    <m/>
  </r>
  <r>
    <x v="2"/>
    <n v="781076"/>
    <x v="0"/>
    <x v="63"/>
    <s v="JG VIEIRA AR CONDICIONADO, REFRIGERACAO E MANUTENCAO LTDA"/>
    <s v="01/06/2024"/>
    <s v="15/06/2024"/>
    <n v="6935"/>
    <s v="Analisar - Erro - Criação de Medição"/>
    <n v="1960"/>
    <n v="1.02701"/>
    <s v="Serviço"/>
    <s v="HEMATOLOGICA - CLINICA DE HEMATOLOGIA S/A "/>
    <x v="19"/>
    <d v="2024-06-12T00:00:00"/>
    <x v="0"/>
    <m/>
  </r>
  <r>
    <x v="2"/>
    <n v="781075"/>
    <x v="0"/>
    <x v="64"/>
    <s v="JG VIEIRA AR CONDICIONADO, REFRIGERACAO E MANUTENCAO LTDA"/>
    <s v="01/06/2024"/>
    <s v="15/06/2024"/>
    <n v="6937"/>
    <s v="Analisar - Erro - Criação de Medição"/>
    <n v="1680"/>
    <n v="1.00101"/>
    <s v="Serviço"/>
    <s v="ONCOCLINICAS DO BRASIL SERVICOS MEDICOS SA"/>
    <x v="19"/>
    <d v="2024-06-12T00:00:00"/>
    <x v="0"/>
    <m/>
  </r>
  <r>
    <x v="2"/>
    <n v="781065"/>
    <x v="0"/>
    <x v="65"/>
    <s v="JG VIEIRA AR CONDICIONADO, REFRIGERACAO E MANUTENCAO LTDA"/>
    <s v="01/06/2024"/>
    <s v="15/06/2024"/>
    <n v="6940"/>
    <s v="Analisar - Erro - Criação de Medição"/>
    <n v="18535"/>
    <n v="1.02701"/>
    <s v="Serviço"/>
    <s v="HEMATOLOGICA - CLINICA DE HEMATOLOGIA S/A "/>
    <x v="19"/>
    <d v="2024-06-12T00:00:00"/>
    <x v="0"/>
    <m/>
  </r>
  <r>
    <x v="3"/>
    <n v="790520"/>
    <x v="0"/>
    <x v="66"/>
    <s v="REALMAR DISTRIBUIDORA LTDA"/>
    <s v="10/06/2024"/>
    <s v="17/06/2024"/>
    <n v="87807"/>
    <s v="Analisar - Lançamento Fiscal"/>
    <n v="817.35"/>
    <n v="1.1000099999999999"/>
    <s v="Material"/>
    <s v="IRV - MATRIZ"/>
    <x v="26"/>
    <d v="2024-06-12T00:00:00"/>
    <x v="0"/>
    <m/>
  </r>
  <r>
    <x v="3"/>
    <n v="789626"/>
    <x v="0"/>
    <x v="67"/>
    <s v="COBES RESTAURANTE E SERVICOS EIRELI - ME"/>
    <s v="10/06/2024"/>
    <s v="17/06/2024"/>
    <n v="1706"/>
    <s v="Verificar - Dados do Produto"/>
    <n v="230.78"/>
    <n v="1.0100100000000001"/>
    <s v="Material"/>
    <s v="CENTRO PAULISTA DE ONCOLOGIA S.A. "/>
    <x v="26"/>
    <d v="2024-06-12T00:00:00"/>
    <x v="0"/>
    <m/>
  </r>
  <r>
    <x v="0"/>
    <n v="787527"/>
    <x v="0"/>
    <x v="68"/>
    <s v="LELO PARK ESTACIONAMENTOS EIRELI"/>
    <s v="07/06/2024"/>
    <s v="17/06/2024"/>
    <n v="28604"/>
    <s v="Verificar - Dados do Produto"/>
    <n v="200"/>
    <n v="1.0010399999999999"/>
    <s v="Serviço"/>
    <s v="ONCOCLINICAS DO BRASIL SERVICOS MEDICOS SA"/>
    <x v="26"/>
    <d v="2024-06-12T00:00:00"/>
    <x v="0"/>
    <m/>
  </r>
  <r>
    <x v="1"/>
    <n v="787031"/>
    <x v="0"/>
    <x v="69"/>
    <s v="MODA BRANCA CONFECCOES LTDA ME"/>
    <s v="06/06/2024"/>
    <s v="17/06/2024"/>
    <n v="8452"/>
    <s v="Analisar - Lançamento Fiscal"/>
    <n v="4889.5"/>
    <n v="1.10301"/>
    <s v="Material"/>
    <s v="NEON - MATRIZ"/>
    <x v="26"/>
    <d v="2024-06-12T00:00:00"/>
    <x v="0"/>
    <m/>
  </r>
  <r>
    <x v="2"/>
    <n v="786567"/>
    <x v="0"/>
    <x v="70"/>
    <s v="K. L. SANTOS &amp; CIA LTDA"/>
    <s v="06/06/2024"/>
    <s v="17/06/2024"/>
    <n v="20932"/>
    <s v="Analisar - Lançamento Fiscal"/>
    <n v="535.96"/>
    <n v="1.05501"/>
    <s v="Material"/>
    <s v="PRO-ONCO - CENTRO DE TRATAMENTO ONCOLOGICO S.A."/>
    <x v="26"/>
    <d v="2024-06-12T00:00:00"/>
    <x v="0"/>
    <m/>
  </r>
  <r>
    <x v="3"/>
    <n v="784681"/>
    <x v="0"/>
    <x v="71"/>
    <s v="MERCADINHO BAMBINA_x0009_"/>
    <s v="05/06/2024"/>
    <s v="17/06/2024"/>
    <n v="8292"/>
    <s v="Analisar - Lançamento Fiscal"/>
    <n v="4444.3"/>
    <n v="1.0480100000000001"/>
    <s v="Material"/>
    <s v="CENTRO DE TRATAMENTO DE TUMORES BOTAFOGO S.A. "/>
    <x v="26"/>
    <d v="2024-06-12T00:00:00"/>
    <x v="0"/>
    <m/>
  </r>
  <r>
    <x v="0"/>
    <n v="782932"/>
    <x v="0"/>
    <x v="72"/>
    <s v="PARK CAR ONE ESTACIONAMENTOS LTDA"/>
    <s v="04/06/2024"/>
    <s v="17/06/2024"/>
    <n v="1120907"/>
    <s v="Analisar - Lançamento Fiscal"/>
    <n v="4010"/>
    <n v="1.0100100000000001"/>
    <s v="Serviço"/>
    <s v="CENTRO PAULISTA DE ONCOLOGIA S.A. "/>
    <x v="26"/>
    <d v="2024-06-12T00:00:00"/>
    <x v="0"/>
    <m/>
  </r>
  <r>
    <x v="2"/>
    <n v="780929"/>
    <x v="0"/>
    <x v="73"/>
    <s v="SURE LOGISTICA EIRELI"/>
    <s v="31/05/2024"/>
    <s v="17/06/2024"/>
    <n v="103443"/>
    <s v="Analisar - Lançamento Fiscal"/>
    <n v="8600"/>
    <n v="1.03901"/>
    <s v="CTe"/>
    <s v="IDENGENE MEDICINA DIAGNOSTICA S.A"/>
    <x v="26"/>
    <d v="2024-06-12T00:00:00"/>
    <x v="0"/>
    <m/>
  </r>
  <r>
    <x v="2"/>
    <n v="780928"/>
    <x v="0"/>
    <x v="74"/>
    <s v="SURE LOGISTICA EIRELI"/>
    <s v="31/05/2024"/>
    <s v="17/06/2024"/>
    <n v="103441"/>
    <s v="Analisar - Lançamento Fiscal"/>
    <n v="6036"/>
    <n v="1.03901"/>
    <s v="CTe"/>
    <s v="IDENGENE MEDICINA DIAGNOSTICA S.A"/>
    <x v="26"/>
    <d v="2024-06-12T00:00:00"/>
    <x v="0"/>
    <m/>
  </r>
  <r>
    <x v="2"/>
    <n v="780927"/>
    <x v="0"/>
    <x v="75"/>
    <s v="SURE LOGISTICA EIRELI"/>
    <s v="31/05/2024"/>
    <s v="17/06/2024"/>
    <n v="103445"/>
    <s v="Analisar - Lançamento Fiscal"/>
    <n v="4607"/>
    <n v="1.03901"/>
    <s v="CTe"/>
    <s v="IDENGENE MEDICINA DIAGNOSTICA S.A"/>
    <x v="26"/>
    <d v="2024-06-12T00:00:00"/>
    <x v="0"/>
    <m/>
  </r>
  <r>
    <x v="2"/>
    <n v="780926"/>
    <x v="0"/>
    <x v="76"/>
    <s v="SURE LOGISTICA EIRELI"/>
    <s v="31/05/2024"/>
    <s v="17/06/2024"/>
    <n v="103442"/>
    <s v="Analisar - Lançamento Fiscal"/>
    <n v="2085"/>
    <n v="1.03901"/>
    <s v="CTe"/>
    <s v="IDENGENE MEDICINA DIAGNOSTICA S.A"/>
    <x v="26"/>
    <d v="2024-06-12T00:00:00"/>
    <x v="0"/>
    <m/>
  </r>
  <r>
    <x v="2"/>
    <n v="780925"/>
    <x v="0"/>
    <x v="77"/>
    <s v="SURE LOGISTICA EIRELI"/>
    <s v="31/05/2024"/>
    <s v="17/06/2024"/>
    <n v="103439"/>
    <s v="Analisar - Lançamento Fiscal"/>
    <n v="8791"/>
    <n v="1.03901"/>
    <s v="CTe"/>
    <s v="IDENGENE MEDICINA DIAGNOSTICA S.A"/>
    <x v="26"/>
    <d v="2024-06-12T00:00:00"/>
    <x v="0"/>
    <m/>
  </r>
  <r>
    <x v="2"/>
    <n v="780924"/>
    <x v="0"/>
    <x v="78"/>
    <s v="SURE LOGISTICA EIRELI"/>
    <s v="31/05/2024"/>
    <s v="17/06/2024"/>
    <n v="103435"/>
    <s v="Analisar - Lançamento Fiscal"/>
    <n v="447"/>
    <n v="1.03901"/>
    <s v="CTe"/>
    <s v="IDENGENE MEDICINA DIAGNOSTICA S.A"/>
    <x v="26"/>
    <d v="2024-06-12T00:00:00"/>
    <x v="0"/>
    <m/>
  </r>
  <r>
    <x v="2"/>
    <n v="780923"/>
    <x v="0"/>
    <x v="79"/>
    <s v="SURE LOGISTICA EIRELI"/>
    <s v="31/05/2024"/>
    <s v="17/06/2024"/>
    <n v="103434"/>
    <s v="Analisar - Lançamento Fiscal"/>
    <n v="297"/>
    <n v="1.03901"/>
    <s v="CTe"/>
    <s v="IDENGENE MEDICINA DIAGNOSTICA S.A"/>
    <x v="26"/>
    <d v="2024-06-12T00:00:00"/>
    <x v="0"/>
    <m/>
  </r>
  <r>
    <x v="2"/>
    <n v="780921"/>
    <x v="0"/>
    <x v="80"/>
    <s v="SURE LOGISTICA EIRELI"/>
    <s v="31/05/2024"/>
    <s v="17/06/2024"/>
    <n v="103437"/>
    <s v="Analisar - Lançamento Fiscal"/>
    <n v="2285"/>
    <n v="1.03901"/>
    <s v="CTe"/>
    <s v="IDENGENE MEDICINA DIAGNOSTICA S.A"/>
    <x v="26"/>
    <d v="2024-06-12T00:00:00"/>
    <x v="0"/>
    <m/>
  </r>
  <r>
    <x v="2"/>
    <n v="780920"/>
    <x v="0"/>
    <x v="81"/>
    <s v="SURE LOGISTICA EIRELI"/>
    <s v="31/05/2024"/>
    <s v="17/06/2024"/>
    <n v="103440"/>
    <s v="Analisar - Lançamento Fiscal"/>
    <n v="5300"/>
    <n v="1.03901"/>
    <s v="CTe"/>
    <s v="IDENGENE MEDICINA DIAGNOSTICA S.A"/>
    <x v="26"/>
    <d v="2024-06-12T00:00:00"/>
    <x v="0"/>
    <m/>
  </r>
  <r>
    <x v="2"/>
    <n v="780918"/>
    <x v="0"/>
    <x v="82"/>
    <s v="SURE LOGISTICA EIRELI"/>
    <s v="31/05/2024"/>
    <s v="17/06/2024"/>
    <n v="103433"/>
    <s v="Analisar - Lançamento Fiscal"/>
    <n v="3870"/>
    <n v="1.03901"/>
    <s v="CTe"/>
    <s v="IDENGENE MEDICINA DIAGNOSTICA S.A"/>
    <x v="26"/>
    <d v="2024-06-12T00:00:00"/>
    <x v="0"/>
    <m/>
  </r>
  <r>
    <x v="2"/>
    <n v="780915"/>
    <x v="0"/>
    <x v="83"/>
    <s v="SURE LOGISTICA EIRELI"/>
    <s v="31/05/2024"/>
    <s v="17/06/2024"/>
    <n v="103432"/>
    <s v="Analisar - Lançamento Fiscal"/>
    <n v="2097"/>
    <n v="1.03901"/>
    <s v="CTe"/>
    <s v="IDENGENE MEDICINA DIAGNOSTICA S.A"/>
    <x v="26"/>
    <d v="2024-06-12T00:00:00"/>
    <x v="0"/>
    <m/>
  </r>
  <r>
    <x v="2"/>
    <n v="780914"/>
    <x v="0"/>
    <x v="84"/>
    <s v="SURE LOGISTICA EIRELI"/>
    <s v="31/05/2024"/>
    <s v="17/06/2024"/>
    <n v="103438"/>
    <s v="Analisar - Lançamento Fiscal"/>
    <n v="554"/>
    <n v="1.03901"/>
    <s v="CTe"/>
    <s v="IDENGENE MEDICINA DIAGNOSTICA S.A"/>
    <x v="26"/>
    <d v="2024-06-12T00:00:00"/>
    <x v="0"/>
    <m/>
  </r>
  <r>
    <x v="2"/>
    <n v="780910"/>
    <x v="0"/>
    <x v="85"/>
    <s v="SURE LOGISTICA EIRELI"/>
    <s v="31/05/2024"/>
    <s v="17/06/2024"/>
    <n v="103430"/>
    <s v="Analisar - Lançamento Fiscal"/>
    <n v="427"/>
    <n v="1.03901"/>
    <s v="CTe"/>
    <s v="IDENGENE MEDICINA DIAGNOSTICA S.A"/>
    <x v="26"/>
    <d v="2024-06-12T00:00:00"/>
    <x v="0"/>
    <m/>
  </r>
  <r>
    <x v="1"/>
    <n v="790921"/>
    <x v="0"/>
    <x v="86"/>
    <s v="ALFA PJ1 ENTREGAS RAPIDAS LTDA - ME"/>
    <s v="10/06/2024"/>
    <s v="18/06/2024"/>
    <n v="2532"/>
    <s v="Verificar - Dados do Produto"/>
    <n v="326.18"/>
    <n v="1.05701"/>
    <s v="Serviço"/>
    <s v="NAVARRA RJ SERVICOS ONCOLOGICOS S.A."/>
    <x v="25"/>
    <d v="2024-06-12T00:00:00"/>
    <x v="0"/>
    <m/>
  </r>
  <r>
    <x v="1"/>
    <n v="790919"/>
    <x v="0"/>
    <x v="87"/>
    <s v="ALFA PJ1 ENTREGAS RAPIDAS LTDA - ME"/>
    <s v="10/06/2024"/>
    <s v="18/06/2024"/>
    <n v="2534"/>
    <s v="Verificar - Dados do Produto"/>
    <n v="12000"/>
    <n v="1.0820099999999999"/>
    <s v="Serviço"/>
    <s v="COTE - CENTRO ONCOLOGICO E TRATAMENTOS ESPECIAIS LTDA"/>
    <x v="25"/>
    <d v="2024-06-12T00:00:00"/>
    <x v="0"/>
    <m/>
  </r>
  <r>
    <x v="1"/>
    <n v="790918"/>
    <x v="0"/>
    <x v="88"/>
    <s v="ALFA PJ1 ENTREGAS RAPIDAS LTDA - ME"/>
    <s v="10/06/2024"/>
    <s v="18/06/2024"/>
    <n v="2535"/>
    <s v="Verificar - Dados do Produto"/>
    <n v="400"/>
    <n v="1.0820099999999999"/>
    <s v="Serviço"/>
    <s v="COTE - CENTRO ONCOLOGICO E TRATAMENTOS ESPECIAIS LTDA"/>
    <x v="25"/>
    <d v="2024-06-12T00:00:00"/>
    <x v="0"/>
    <m/>
  </r>
  <r>
    <x v="2"/>
    <n v="788317"/>
    <x v="0"/>
    <x v="89"/>
    <s v="ESPACO CYBER INFORMATICA E INTERNET LTDA ME"/>
    <s v="07/06/2024"/>
    <s v="18/06/2024"/>
    <n v="3783"/>
    <s v="Analisar - Lançamento Fiscal"/>
    <n v="90.1"/>
    <n v="1.0860099999999999"/>
    <s v="Material"/>
    <s v="AIO- INSTITUTO DE CANCÊR"/>
    <x v="25"/>
    <d v="2024-06-12T00:00:00"/>
    <x v="0"/>
    <m/>
  </r>
  <r>
    <x v="3"/>
    <n v="787467"/>
    <x v="0"/>
    <x v="90"/>
    <s v="UP CENTER ELEVADORES SERVICOS DE INSTALACAO E MANUTENCAO LTDA_x0009_"/>
    <s v="07/06/2024"/>
    <s v="18/06/2024"/>
    <n v="5540"/>
    <s v="Verificar - Dados do Produto"/>
    <n v="250"/>
    <n v="1.0720099999999999"/>
    <s v="Serviço"/>
    <s v="CTR CENTRO DE TRATAMENTO RADIOTERAPICO LTDA"/>
    <x v="25"/>
    <d v="2024-06-12T00:00:00"/>
    <x v="0"/>
    <m/>
  </r>
  <r>
    <x v="0"/>
    <n v="786097"/>
    <x v="0"/>
    <x v="91"/>
    <s v="IRON MOUNTAIN DO BRASIL LTDA"/>
    <s v="06/06/2024"/>
    <s v="18/06/2024"/>
    <n v="5822"/>
    <s v="Verificar - Dados do Produto"/>
    <n v="1600.24"/>
    <n v="1.0900099999999999"/>
    <s v="Serviço"/>
    <s v="CETTRO - CENTRO DE TRATAMENTO ONCOLOGICO LTDA"/>
    <x v="25"/>
    <d v="2024-06-12T00:00:00"/>
    <x v="0"/>
    <m/>
  </r>
  <r>
    <x v="0"/>
    <n v="786095"/>
    <x v="0"/>
    <x v="92"/>
    <s v="IRON MOUNTAIN DO BRASIL LTDA"/>
    <s v="06/06/2024"/>
    <s v="18/06/2024"/>
    <n v="5755"/>
    <s v="Verificar - Dados do Produto"/>
    <n v="139.84"/>
    <n v="1.0900099999999999"/>
    <s v="Serviço"/>
    <s v="CETTRO - CENTRO DE TRATAMENTO ONCOLOGICO LTDA"/>
    <x v="25"/>
    <d v="2024-06-12T00:00:00"/>
    <x v="0"/>
    <m/>
  </r>
  <r>
    <x v="1"/>
    <n v="786094"/>
    <x v="0"/>
    <x v="93"/>
    <s v="ESTERILAV ESTERILIZACAO DE MAT HOSPITALARES LTDA"/>
    <s v="03/06/2024"/>
    <s v="18/06/2024"/>
    <n v="3115"/>
    <s v="Verificar - Dados do Produto"/>
    <n v="2300"/>
    <n v="1.05802"/>
    <s v="Serviço"/>
    <s v="ANGARA ONCOLOGIA E PARTICIPACOES S.A."/>
    <x v="25"/>
    <d v="2024-06-12T00:00:00"/>
    <x v="0"/>
    <m/>
  </r>
  <r>
    <x v="2"/>
    <n v="785958"/>
    <x v="0"/>
    <x v="94"/>
    <s v="LIFE TECHNOLOGIES BRASIL COMERCIO E INDUSTRIA DE PRODUTOS PARA BIOTECNOLOGIA LTDA"/>
    <s v="06/06/2024"/>
    <s v="18/06/2024"/>
    <n v="20190"/>
    <s v="Verificar - Dados do Produto"/>
    <n v="3232.12"/>
    <n v="1.03901"/>
    <s v="Serviço"/>
    <s v="IDENGENE MEDICINA DIAGNOSTICA S.A"/>
    <x v="25"/>
    <d v="2024-06-12T00:00:00"/>
    <x v="0"/>
    <m/>
  </r>
  <r>
    <x v="3"/>
    <n v="783450"/>
    <x v="0"/>
    <x v="95"/>
    <s v="BRASANITAS HOSPITALAR - HIGIENIZACAO E CONSERVACAO DE AMBIENTES DE SAUDE LTDA"/>
    <s v="04/06/2024"/>
    <s v="18/06/2024"/>
    <n v="19620"/>
    <s v="Analisar - Lançamento Fiscal"/>
    <n v="804.39"/>
    <n v="1.0420100000000001"/>
    <s v="Material"/>
    <s v="CENTRO DE TRATAMENTO EM RADIOTERAPIA LTDA "/>
    <x v="25"/>
    <d v="2024-06-12T00:00:00"/>
    <x v="0"/>
    <m/>
  </r>
  <r>
    <x v="0"/>
    <n v="783341"/>
    <x v="0"/>
    <x v="96"/>
    <s v="MINERACAO CAMPO BRANCO LTDA"/>
    <s v="04/06/2024"/>
    <s v="18/06/2024"/>
    <n v="54789"/>
    <s v="Analisar - Erro - Integração de Pré Nota"/>
    <n v="395.76"/>
    <n v="1.01702"/>
    <s v="Material"/>
    <s v="CENTRO DE QUIMIOTERAPIA ONCOCLINICAS S/A "/>
    <x v="25"/>
    <d v="2024-06-12T00:00:00"/>
    <x v="0"/>
    <m/>
  </r>
  <r>
    <x v="1"/>
    <n v="782985"/>
    <x v="0"/>
    <x v="97"/>
    <s v="JULIANA JUSTINO DE SOUZA 07614477685"/>
    <s v="03/06/2024"/>
    <s v="18/06/2024"/>
    <n v="11"/>
    <s v="Analisar - Lançamento Fiscal"/>
    <n v="1250"/>
    <n v="1.0740099999999999"/>
    <s v="Serviço"/>
    <s v="COMPLEXO HOSPITALAR UBERLANDIA S.A"/>
    <x v="25"/>
    <d v="2024-06-12T00:00:00"/>
    <x v="0"/>
    <m/>
  </r>
  <r>
    <x v="2"/>
    <n v="782176"/>
    <x v="0"/>
    <x v="98"/>
    <s v="GRAN COFFEE COMERCIO, LOCACAO E SERVICOS S.A."/>
    <s v="03/06/2024"/>
    <s v="18/06/2024"/>
    <n v="102803"/>
    <s v="Analisar - Lançamento Fiscal"/>
    <n v="796"/>
    <n v="1.07101"/>
    <s v="Material"/>
    <s v="CENTRO BRASILEIRO DE RADIOTERAPIA ONCOLOGIA E MASTOLOGIA - CEBROM LTDA"/>
    <x v="25"/>
    <d v="2024-06-12T00:00:00"/>
    <x v="0"/>
    <m/>
  </r>
  <r>
    <x v="3"/>
    <n v="781311"/>
    <x v="0"/>
    <x v="99"/>
    <s v="NEXXTO SERVICOS EM TECNOLOGIA DA INFORMACAO S.A"/>
    <s v="03/06/2024"/>
    <s v="18/06/2024"/>
    <n v="14340"/>
    <s v="Analisar Erro ao Consultar o Contas a Pagar"/>
    <n v="643.5"/>
    <n v="1.09501"/>
    <s v="Serviço"/>
    <s v="CORP CENTRO DE ONCOLOGIA DE RIO PRETO S.A."/>
    <x v="25"/>
    <d v="2024-06-12T00:00:00"/>
    <x v="0"/>
    <m/>
  </r>
  <r>
    <x v="3"/>
    <n v="781250"/>
    <x v="0"/>
    <x v="100"/>
    <s v="NEXXTO SERVICOS EM TECNOLOGIA DA INFORMACAO S.A"/>
    <s v="03/06/2024"/>
    <s v="18/06/2024"/>
    <n v="14218"/>
    <s v="Analisar Erro ao Consultar o Contas a Pagar"/>
    <n v="887.01"/>
    <n v="1.1020099999999999"/>
    <s v="Serviço"/>
    <s v="ONCO CARE PRUDENTE"/>
    <x v="25"/>
    <d v="2024-06-12T00:00:00"/>
    <x v="0"/>
    <m/>
  </r>
  <r>
    <x v="3"/>
    <n v="781247"/>
    <x v="0"/>
    <x v="101"/>
    <s v="NEXXTO SERVICOS EM TECNOLOGIA DA INFORMACAO S.A"/>
    <s v="03/06/2024"/>
    <s v="18/06/2024"/>
    <n v="14285"/>
    <s v="Analisar - Erro - Criação de Medição"/>
    <n v="643.5"/>
    <n v="1.0460199999999999"/>
    <s v="Serviço"/>
    <s v="COT - CENTRO ONCOLOGICO DO TRIANGULO S.A "/>
    <x v="25"/>
    <d v="2024-06-12T00:00:00"/>
    <x v="0"/>
    <m/>
  </r>
  <r>
    <x v="3"/>
    <n v="781215"/>
    <x v="0"/>
    <x v="102"/>
    <s v="NEXXTO SERVICOS EM TECNOLOGIA DA INFORMACAO S.A"/>
    <s v="03/06/2024"/>
    <s v="18/06/2024"/>
    <n v="14275"/>
    <s v="Analisar - Erro - Integração de Pré Nota"/>
    <n v="643.5"/>
    <n v="1.02501"/>
    <s v="Serviço"/>
    <s v="ONCOCLINICAS CANOAS CLINICA DE ONCOLOGIA LTDA"/>
    <x v="25"/>
    <d v="2024-06-12T00:00:00"/>
    <x v="0"/>
    <m/>
  </r>
  <r>
    <x v="3"/>
    <n v="781212"/>
    <x v="0"/>
    <x v="103"/>
    <s v="NEXXTO SERVICOS EM TECNOLOGIA DA INFORMACAO S.A"/>
    <s v="03/06/2024"/>
    <s v="18/06/2024"/>
    <n v="14233"/>
    <s v="Verificar - Dados do Produto"/>
    <n v="1596.38"/>
    <n v="1.0340100000000001"/>
    <s v="Serviço"/>
    <s v="RADIOTERAPIA ONCOCLINICAS RECIFE LTDA"/>
    <x v="25"/>
    <d v="2024-06-12T00:00:00"/>
    <x v="0"/>
    <m/>
  </r>
  <r>
    <x v="0"/>
    <n v="781147"/>
    <x v="0"/>
    <x v="104"/>
    <s v="ELEUSA FERREIRA JACULI LOPES 04123606679"/>
    <s v="03/06/2024"/>
    <s v="18/06/2024"/>
    <n v="10"/>
    <s v="Analisar - Lançamento Fiscal"/>
    <n v="800"/>
    <n v="1.0740099999999999"/>
    <s v="Serviço"/>
    <s v="COMPLEXO HOSPITALAR UBERLANDIA S.A"/>
    <x v="25"/>
    <d v="2024-06-12T00:00:00"/>
    <x v="0"/>
    <m/>
  </r>
  <r>
    <x v="1"/>
    <n v="780850"/>
    <x v="0"/>
    <x v="105"/>
    <s v="PONTUAL DOCES E SALGADOS LTDA"/>
    <s v="01/06/2024"/>
    <s v="18/06/2024"/>
    <n v="117"/>
    <s v="Analisar - Lançamento Fiscal"/>
    <n v="613.79999999999995"/>
    <n v="1.00105"/>
    <s v="Material"/>
    <s v="ONCOCLINICAS DO BRASIL SERVICOS MEDICOS SA"/>
    <x v="25"/>
    <d v="2024-06-12T00:00:00"/>
    <x v="0"/>
    <m/>
  </r>
  <r>
    <x v="2"/>
    <n v="790824"/>
    <x v="0"/>
    <x v="106"/>
    <s v="WILLAMS LOPES DA SILVA SERVICOS DE PINTURA E REPARACAO - ME"/>
    <s v="10/06/2024"/>
    <s v="19/06/2024"/>
    <n v="38"/>
    <s v="Analisar - Lançamento Fiscal"/>
    <n v="2480"/>
    <n v="1.00901"/>
    <s v="Serviço"/>
    <s v="MULTIHEMO SERVICOS MEDICOS S/A "/>
    <x v="27"/>
    <d v="2024-06-12T00:00:00"/>
    <x v="0"/>
    <m/>
  </r>
  <r>
    <x v="2"/>
    <n v="790822"/>
    <x v="0"/>
    <x v="107"/>
    <s v="WILLAMS LOPES DA SILVA SERVICOS DE PINTURA E REPARACAO - ME"/>
    <s v="10/06/2024"/>
    <s v="20/06/2024"/>
    <n v="37"/>
    <s v="Analisar - Lançamento Fiscal"/>
    <n v="4780"/>
    <n v="1.00901"/>
    <s v="Serviço"/>
    <s v="MULTIHEMO SERVICOS MEDICOS S/A "/>
    <x v="22"/>
    <d v="2024-06-12T00:00:00"/>
    <x v="0"/>
    <m/>
  </r>
  <r>
    <x v="3"/>
    <n v="789215"/>
    <x v="0"/>
    <x v="108"/>
    <s v="ZANDER ETIQUETAS LTDA - EPP"/>
    <s v="10/06/2024"/>
    <s v="10/07/2024"/>
    <n v="16780"/>
    <s v="Analisar - Lançamento Fiscal"/>
    <n v="1480"/>
    <n v="1.00105"/>
    <s v="Material"/>
    <s v="ONCOCLINICAS DO BRASIL SERVICOS MEDICOS SA"/>
    <x v="28"/>
    <d v="2024-06-12T00:00:00"/>
    <x v="0"/>
    <m/>
  </r>
  <r>
    <x v="0"/>
    <n v="789070"/>
    <x v="0"/>
    <x v="109"/>
    <s v="54.221.674 JOCIMAR REIS DA SILVA"/>
    <s v="10/06/2024"/>
    <s v="19/06/2024"/>
    <n v="5"/>
    <s v="Analisar - Lançamento Fiscal"/>
    <n v="2549.3200000000002"/>
    <n v="1.00901"/>
    <s v="Serviço"/>
    <s v="MULTIHEMO SERVICOS MEDICOS S/A "/>
    <x v="27"/>
    <d v="2024-06-12T00:00:00"/>
    <x v="0"/>
    <m/>
  </r>
  <r>
    <x v="1"/>
    <n v="788870"/>
    <x v="0"/>
    <x v="110"/>
    <s v="RN COMUNICACAO E EVENTOS LTDA ME"/>
    <s v="08/06/2024"/>
    <s v="19/06/2024"/>
    <n v="1475"/>
    <s v="Verificar - Dados do Produto"/>
    <n v="2450"/>
    <n v="1.00901"/>
    <s v="Serviço"/>
    <s v="MULTIHEMO SERVICOS MEDICOS S/A "/>
    <x v="27"/>
    <d v="2024-06-12T00:00:00"/>
    <x v="0"/>
    <m/>
  </r>
  <r>
    <x v="2"/>
    <n v="785700"/>
    <x v="0"/>
    <x v="111"/>
    <s v="JD COMERCIO DE DERIVADOS DE BORRACHA LTDA"/>
    <s v="05/06/2024"/>
    <s v="19/06/2024"/>
    <n v="352472"/>
    <s v="Analisar - Lançamento Fiscal"/>
    <n v="325"/>
    <n v="1.0740099999999999"/>
    <s v="Material"/>
    <s v="COMPLEXO HOSPITALAR UBERLANDIA S.A"/>
    <x v="27"/>
    <d v="2024-06-12T00:00:00"/>
    <x v="0"/>
    <m/>
  </r>
  <r>
    <x v="2"/>
    <n v="784618"/>
    <x v="0"/>
    <x v="112"/>
    <s v="JG VIEIRA AR CONDICIONADO, REFRIGERACAO E MANUTENCAO LTDA"/>
    <s v="05/06/2024"/>
    <s v="19/06/2024"/>
    <n v="6997"/>
    <s v="Verificar - Dados do Produto"/>
    <n v="353.4"/>
    <n v="1.08202"/>
    <s v="Serviço"/>
    <s v="Cote - Centro Oncologico e Tratamentos Especiais LTDA"/>
    <x v="27"/>
    <d v="2024-06-12T00:00:00"/>
    <x v="0"/>
    <m/>
  </r>
  <r>
    <x v="0"/>
    <n v="784420"/>
    <x v="0"/>
    <x v="113"/>
    <s v="PARK CAR ONE ESTACIONAMENTOS LTDA"/>
    <s v="05/06/2024"/>
    <s v="19/06/2024"/>
    <n v="1121323"/>
    <s v="Analisar - Lançamento Fiscal"/>
    <n v="4010"/>
    <n v="1.0100100000000001"/>
    <s v="Serviço"/>
    <s v="CENTRO PAULISTA DE ONCOLOGIA S.A. "/>
    <x v="27"/>
    <d v="2024-06-12T00:00:00"/>
    <x v="0"/>
    <m/>
  </r>
  <r>
    <x v="0"/>
    <n v="784417"/>
    <x v="0"/>
    <x v="114"/>
    <s v="PARK CAR ONE ESTACIONAMENTOS LTDA"/>
    <s v="05/06/2024"/>
    <s v="19/06/2024"/>
    <n v="1121326"/>
    <s v="Analisar - Lançamento Fiscal"/>
    <n v="4000"/>
    <n v="1.0100100000000001"/>
    <s v="Serviço"/>
    <s v="CENTRO PAULISTA DE ONCOLOGIA S.A. "/>
    <x v="27"/>
    <d v="2024-06-12T00:00:00"/>
    <x v="0"/>
    <m/>
  </r>
  <r>
    <x v="0"/>
    <n v="784414"/>
    <x v="0"/>
    <x v="115"/>
    <s v="PARK CAR ONE ESTACIONAMENTOS LTDA"/>
    <s v="05/06/2024"/>
    <s v="19/06/2024"/>
    <n v="1121325"/>
    <s v="Analisar - Lançamento Fiscal"/>
    <n v="4010"/>
    <n v="1.0100100000000001"/>
    <s v="Serviço"/>
    <s v="CENTRO PAULISTA DE ONCOLOGIA S.A. "/>
    <x v="27"/>
    <d v="2024-06-12T00:00:00"/>
    <x v="0"/>
    <m/>
  </r>
  <r>
    <x v="0"/>
    <n v="784413"/>
    <x v="0"/>
    <x v="116"/>
    <s v="PARK CAR ONE ESTACIONAMENTOS LTDA"/>
    <s v="05/06/2024"/>
    <s v="19/06/2024"/>
    <n v="1121328"/>
    <s v="Analisar - Lançamento Fiscal"/>
    <n v="4000"/>
    <n v="1.0100100000000001"/>
    <s v="Serviço"/>
    <s v="CENTRO PAULISTA DE ONCOLOGIA S.A. "/>
    <x v="27"/>
    <d v="2024-06-12T00:00:00"/>
    <x v="0"/>
    <m/>
  </r>
  <r>
    <x v="3"/>
    <n v="783239"/>
    <x v="0"/>
    <x v="117"/>
    <s v="DEZOITO COMUNICACAO LTDA."/>
    <s v="03/06/2024"/>
    <s v="19/06/2024"/>
    <n v="2024396"/>
    <s v="Verificar - Dados do Produto"/>
    <n v="2940"/>
    <n v="1.02101"/>
    <s v="Serviço"/>
    <s v="CPO - CENTRO PARAIBANO DE ONCOLOGIA S.A"/>
    <x v="27"/>
    <d v="2024-06-12T00:00:00"/>
    <x v="0"/>
    <m/>
  </r>
  <r>
    <x v="0"/>
    <n v="782893"/>
    <x v="0"/>
    <x v="118"/>
    <s v="AMBICAMP COLETA E DESTINACAO DE RESIDUOS LTDA"/>
    <s v="04/06/2024"/>
    <s v="19/06/2024"/>
    <n v="30814"/>
    <s v="Verificar - Dados do Produto"/>
    <n v="1253.2"/>
    <n v="1.0100199999999999"/>
    <s v="Serviço"/>
    <s v="CENTRO PAULISTA DE ONCOLOGIA S.A. "/>
    <x v="27"/>
    <d v="2024-06-12T00:00:00"/>
    <x v="0"/>
    <m/>
  </r>
  <r>
    <x v="1"/>
    <n v="790517"/>
    <x v="0"/>
    <x v="119"/>
    <s v="SPICEFIT ALIMENTOS FUNCIONAIS LTDA_x0009_"/>
    <s v="10/06/2024"/>
    <s v="20/06/2024"/>
    <n v="108"/>
    <s v="Analisar - Lançamento Fiscal"/>
    <n v="2305"/>
    <n v="1.09101"/>
    <s v="Material"/>
    <s v="INSTITUTO DE ONCOLOGIA KAPLAN"/>
    <x v="22"/>
    <d v="2024-06-12T00:00:00"/>
    <x v="0"/>
    <m/>
  </r>
  <r>
    <x v="2"/>
    <n v="789353"/>
    <x v="0"/>
    <x v="120"/>
    <s v="ROSE MARY MELO DE OLIVEIRA BARRETO_x0009_"/>
    <s v="10/06/2024"/>
    <s v="20/06/2024"/>
    <n v="232980"/>
    <s v="Analisar - Lançamento Fiscal"/>
    <n v="65"/>
    <n v="1.02301"/>
    <s v="Material"/>
    <s v="NOS - NUCLEO DE ONCOLOGIA DE SERGIPE S.A"/>
    <x v="22"/>
    <d v="2024-06-12T00:00:00"/>
    <x v="0"/>
    <m/>
  </r>
  <r>
    <x v="3"/>
    <n v="789246"/>
    <x v="0"/>
    <x v="121"/>
    <s v="CLAUDIA ELAINE FURTADO 30788801848"/>
    <s v="10/06/2024"/>
    <s v="20/06/2024"/>
    <n v="899"/>
    <s v="Verificar - Dados do Produto"/>
    <n v="2350"/>
    <n v="1.09202"/>
    <s v="Serviço"/>
    <s v="ONCO &amp; HEMATO SERVICOS MEDICOS S.A."/>
    <x v="22"/>
    <d v="2024-06-12T00:00:00"/>
    <x v="0"/>
    <m/>
  </r>
  <r>
    <x v="3"/>
    <n v="789233"/>
    <x v="0"/>
    <x v="122"/>
    <s v="CLAUDIA ELAINE FURTADO 30788801848"/>
    <s v="10/06/2024"/>
    <s v="20/06/2024"/>
    <n v="898"/>
    <s v="Verificar - Dados do Produto"/>
    <n v="2000"/>
    <n v="1.0920300000000001"/>
    <s v="Serviço"/>
    <s v="ONCO &amp; HEMATO SERVICOS MEDICOS S.A."/>
    <x v="22"/>
    <d v="2024-06-12T00:00:00"/>
    <x v="0"/>
    <m/>
  </r>
  <r>
    <x v="3"/>
    <n v="789222"/>
    <x v="0"/>
    <x v="123"/>
    <s v="CLAUDIA ELAINE FURTADO 30788801848"/>
    <s v="10/06/2024"/>
    <s v="20/06/2024"/>
    <n v="897"/>
    <s v="Verificar - Dados do Produto"/>
    <n v="1400"/>
    <n v="1.1000099999999999"/>
    <s v="Serviço"/>
    <s v="IRV - MATRIZ"/>
    <x v="22"/>
    <d v="2024-06-12T00:00:00"/>
    <x v="0"/>
    <m/>
  </r>
  <r>
    <x v="3"/>
    <n v="789220"/>
    <x v="0"/>
    <x v="124"/>
    <s v="CLAUDIA ELAINE FURTADO 30788801848"/>
    <s v="10/06/2024"/>
    <s v="20/06/2024"/>
    <n v="896"/>
    <s v="Verificar - Dados do Produto"/>
    <n v="1300"/>
    <n v="1.09701"/>
    <s v="Serviço"/>
    <s v="IMUNOMED CLINICA DE INFUSAO E ESPECIALIDADES S/A"/>
    <x v="22"/>
    <d v="2024-06-12T00:00:00"/>
    <x v="0"/>
    <m/>
  </r>
  <r>
    <x v="0"/>
    <n v="788959"/>
    <x v="0"/>
    <x v="125"/>
    <s v="INSTITUTO DE ACREDITACAO E GESTAO, CONSULTORIA E SISTEMAS DE INFORMACAO LTDA - ME"/>
    <s v="04/06/2024"/>
    <s v="20/06/2024"/>
    <n v="20241333"/>
    <s v="Verificar - Dados do Produto"/>
    <n v="1520.72"/>
    <n v="1.0460100000000001"/>
    <s v="Serviço"/>
    <s v="COT - CENTRO ONCOLOGICO DO TRIANGULO S.A "/>
    <x v="22"/>
    <d v="2024-06-12T00:00:00"/>
    <x v="0"/>
    <m/>
  </r>
  <r>
    <x v="1"/>
    <n v="788465"/>
    <x v="0"/>
    <x v="126"/>
    <s v="D. R. DOS SANTOS PADARIA LTDA"/>
    <s v="07/06/2024"/>
    <s v="20/06/2024"/>
    <n v="278"/>
    <s v="Analisar - Lançamento Fiscal"/>
    <n v="219.7"/>
    <n v="1.09501"/>
    <s v="Material"/>
    <s v="CORP CENTRO DE ONCOLOGIA DE RIO PRETO S.A."/>
    <x v="22"/>
    <d v="2024-06-12T00:00:00"/>
    <x v="0"/>
    <m/>
  </r>
  <r>
    <x v="0"/>
    <n v="787539"/>
    <x v="0"/>
    <x v="127"/>
    <s v="INSTITUTO DE ACREDITACAO E GESTAO, CONSULTORIA E SISTEMAS DE INFORMACAO LTDA - ME"/>
    <s v="04/06/2024"/>
    <s v="20/06/2024"/>
    <n v="20241332"/>
    <s v="Analisar - Erro ao Buscar Pedido de Compra Referente a Medição"/>
    <n v="1472.25"/>
    <n v="1.0220100000000001"/>
    <s v="Serviço"/>
    <s v="CECON - CENTRO CAPIXABA DE ONCOLOGIA S.A"/>
    <x v="22"/>
    <d v="2024-06-12T00:00:00"/>
    <x v="0"/>
    <m/>
  </r>
  <r>
    <x v="2"/>
    <n v="786556"/>
    <x v="0"/>
    <x v="128"/>
    <s v="J.C.CASAROTTO MORO &amp; CIA LTDA"/>
    <s v="06/06/2024"/>
    <s v="20/06/2024"/>
    <n v="28083"/>
    <s v="Analisar - Lançamento Fiscal"/>
    <n v="362.6"/>
    <n v="1.05501"/>
    <s v="Material"/>
    <s v="PRO-ONCO - CENTRO DE TRATAMENTO ONCOLOGICO S.A."/>
    <x v="22"/>
    <d v="2024-06-12T00:00:00"/>
    <x v="0"/>
    <m/>
  </r>
  <r>
    <x v="3"/>
    <n v="786408"/>
    <x v="0"/>
    <x v="129"/>
    <s v="PAES E DOCES VILA NOVA LTDA"/>
    <s v="06/06/2024"/>
    <s v="20/06/2024"/>
    <n v="11554"/>
    <s v="Analisar - Lançamento Fiscal"/>
    <n v="598"/>
    <n v="1.03901"/>
    <s v="Material"/>
    <s v="IDENGENE MEDICINA DIAGNOSTICA S.A"/>
    <x v="22"/>
    <d v="2024-06-12T00:00:00"/>
    <x v="0"/>
    <m/>
  </r>
  <r>
    <x v="0"/>
    <n v="785984"/>
    <x v="0"/>
    <x v="130"/>
    <s v="IRON MOUNTAIN DO BRASIL LTDA"/>
    <s v="06/06/2024"/>
    <s v="20/06/2024"/>
    <n v="3723"/>
    <s v="Verificar - Dados do Produto"/>
    <n v="9.98"/>
    <n v="1.0860099999999999"/>
    <s v="Serviço"/>
    <s v="AIO- INSTITUTO DE CANCÊR"/>
    <x v="22"/>
    <d v="2024-06-12T00:00:00"/>
    <x v="0"/>
    <m/>
  </r>
  <r>
    <x v="0"/>
    <n v="785983"/>
    <x v="0"/>
    <x v="131"/>
    <s v="IRON MOUNTAIN DO BRASIL LTDA"/>
    <s v="06/06/2024"/>
    <s v="20/06/2024"/>
    <n v="3694"/>
    <s v="Verificar - Dados do Produto"/>
    <n v="2463.4499999999998"/>
    <n v="1.0860099999999999"/>
    <s v="Serviço"/>
    <s v="AIO- INSTITUTO DE CANCÊR"/>
    <x v="22"/>
    <d v="2024-06-12T00:00:00"/>
    <x v="0"/>
    <m/>
  </r>
  <r>
    <x v="0"/>
    <n v="785982"/>
    <x v="0"/>
    <x v="132"/>
    <s v="IRON MOUNTAIN DO BRASIL LTDA"/>
    <s v="06/06/2024"/>
    <s v="20/06/2024"/>
    <n v="3796"/>
    <s v="Verificar - Dados do Produto"/>
    <n v="190.67"/>
    <n v="1.0860099999999999"/>
    <s v="Serviço"/>
    <s v="AIO- INSTITUTO DE CANCÊR"/>
    <x v="22"/>
    <d v="2024-06-12T00:00:00"/>
    <x v="0"/>
    <m/>
  </r>
  <r>
    <x v="2"/>
    <n v="785976"/>
    <x v="0"/>
    <x v="133"/>
    <s v="JG VIEIRA AR CONDICIONADO, REFRIGERACAO E MANUTENCAO LTDA"/>
    <s v="06/06/2024"/>
    <s v="20/06/2024"/>
    <n v="7000"/>
    <s v="Verificar - Dados do Produto"/>
    <n v="171"/>
    <n v="1.0820099999999999"/>
    <s v="Serviço"/>
    <s v="COTE - CENTRO ONCOLOGICO E TRATAMENTOS ESPECIAIS LTDA"/>
    <x v="22"/>
    <d v="2024-06-12T00:00:00"/>
    <x v="0"/>
    <m/>
  </r>
  <r>
    <x v="2"/>
    <n v="785961"/>
    <x v="0"/>
    <x v="134"/>
    <s v="JG VIEIRA AR CONDICIONADO, REFRIGERACAO E MANUTENCAO LTDA"/>
    <s v="06/06/2024"/>
    <s v="20/06/2024"/>
    <n v="6998"/>
    <s v="Verificar - Dados do Produto"/>
    <n v="171"/>
    <n v="1.0820099999999999"/>
    <s v="Serviço"/>
    <s v="COTE - CENTRO ONCOLOGICO E TRATAMENTOS ESPECIAIS LTDA"/>
    <x v="22"/>
    <d v="2024-06-12T00:00:00"/>
    <x v="0"/>
    <m/>
  </r>
  <r>
    <x v="0"/>
    <n v="785944"/>
    <x v="0"/>
    <x v="135"/>
    <s v="LABORATORIO RICHET PESQUISAS DE PHYSIOPATHOLOGIA HUMANA S A"/>
    <s v="06/06/2024"/>
    <s v="20/06/2024"/>
    <n v="157184"/>
    <s v="Verificar - Dados do Produto"/>
    <n v="20890.080000000002"/>
    <n v="1.07301"/>
    <s v="Serviço"/>
    <s v="HOSPITAL DE ONCOLOGIA DO MEIER"/>
    <x v="22"/>
    <d v="2024-06-12T00:00:00"/>
    <x v="0"/>
    <m/>
  </r>
  <r>
    <x v="1"/>
    <n v="785750"/>
    <x v="0"/>
    <x v="136"/>
    <s v="TOTAL FRIO REFRIGERACAO E AR CONDICIONADO LTDA"/>
    <s v="05/06/2024"/>
    <s v="20/06/2024"/>
    <n v="37556"/>
    <s v="Analisar - Lançamento Fiscal"/>
    <n v="462"/>
    <n v="1.0740099999999999"/>
    <s v="Material"/>
    <s v="COMPLEXO HOSPITALAR UBERLANDIA S.A"/>
    <x v="22"/>
    <d v="2024-06-12T00:00:00"/>
    <x v="0"/>
    <m/>
  </r>
  <r>
    <x v="2"/>
    <n v="784598"/>
    <x v="0"/>
    <x v="137"/>
    <s v="42.980.905 DANYEL LUCAS NUNES QUINARELLI"/>
    <s v="05/06/2024"/>
    <s v="20/06/2024"/>
    <n v="43951556"/>
    <s v="Analisar - Lançamento Fiscal"/>
    <n v="2240"/>
    <n v="1.0740099999999999"/>
    <s v="Material"/>
    <s v="COMPLEXO HOSPITALAR UBERLANDIA S.A"/>
    <x v="22"/>
    <d v="2024-06-12T00:00:00"/>
    <x v="0"/>
    <m/>
  </r>
  <r>
    <x v="3"/>
    <n v="784582"/>
    <x v="0"/>
    <x v="138"/>
    <s v="CTI COR - CENTRO DE TRATAMENTO INTENSIVO LTDA"/>
    <s v="05/06/2024"/>
    <s v="20/06/2024"/>
    <n v="17514"/>
    <s v="Analisar - Lançamento Fiscal"/>
    <n v="1196"/>
    <n v="1.0480100000000001"/>
    <s v="Serviço"/>
    <s v="CENTRO DE TRATAMENTO DE TUMORES BOTAFOGO S.A. "/>
    <x v="22"/>
    <d v="2024-06-12T00:00:00"/>
    <x v="0"/>
    <m/>
  </r>
  <r>
    <x v="0"/>
    <n v="784409"/>
    <x v="0"/>
    <x v="139"/>
    <s v="MP METALURGICA INDUSTRIA E COMERCIO LTDA"/>
    <s v="05/06/2024"/>
    <s v="20/06/2024"/>
    <n v="130"/>
    <s v="Analisar - Lançamento Fiscal - Prazo Vencido"/>
    <n v="786"/>
    <n v="1.0740099999999999"/>
    <s v="Serviço"/>
    <s v="COMPLEXO HOSPITALAR UBERLANDIA S.A"/>
    <x v="22"/>
    <d v="2024-06-12T00:00:00"/>
    <x v="0"/>
    <m/>
  </r>
  <r>
    <x v="1"/>
    <n v="784396"/>
    <x v="0"/>
    <x v="140"/>
    <s v="JANILSON LOURENCO GOMES LTDA_x0009_"/>
    <s v="05/06/2024"/>
    <s v="20/06/2024"/>
    <n v="1395"/>
    <s v="Analisar - Lançamento Fiscal"/>
    <n v="6157.82"/>
    <n v="1.0740099999999999"/>
    <s v="Serviço"/>
    <s v="COMPLEXO HOSPITALAR UBERLANDIA S.A"/>
    <x v="22"/>
    <d v="2024-06-12T00:00:00"/>
    <x v="0"/>
    <m/>
  </r>
  <r>
    <x v="2"/>
    <n v="783738"/>
    <x v="0"/>
    <x v="141"/>
    <s v="ROBERTO SOARES FERRAZ DE OLIVIERA MATERIAL PARA CONSTRUCAO"/>
    <s v="04/06/2024"/>
    <s v="20/06/2024"/>
    <n v="1009"/>
    <s v="Analisar - Lançamento Fiscal"/>
    <n v="781.3"/>
    <n v="1.0620099999999999"/>
    <s v="Material"/>
    <s v="LOCUS - ANATOMIA PATOLOGICA E CITOLOGIA LTDA"/>
    <x v="22"/>
    <d v="2024-06-12T00:00:00"/>
    <x v="0"/>
    <m/>
  </r>
  <r>
    <x v="3"/>
    <n v="781676"/>
    <x v="0"/>
    <x v="142"/>
    <s v="CAVICHIOLI TI CONSULTORIA LTDA"/>
    <s v="03/06/2024"/>
    <s v="20/06/2024"/>
    <n v="55"/>
    <s v="Verificar - Dados do Produto"/>
    <n v="16000"/>
    <n v="1.0010399999999999"/>
    <s v="Serviço"/>
    <s v="ONCOCLINICAS DO BRASIL SERVICOS MEDICOS SA"/>
    <x v="22"/>
    <d v="2024-06-12T00:00:00"/>
    <x v="0"/>
    <m/>
  </r>
  <r>
    <x v="0"/>
    <n v="780989"/>
    <x v="0"/>
    <x v="143"/>
    <s v="WBW INFORMATICA EIRELI"/>
    <s v="03/06/2024"/>
    <s v="20/06/2024"/>
    <n v="202477"/>
    <s v="Analisar - Erro - Criação de Medição"/>
    <n v="2774.26"/>
    <n v="1.06501"/>
    <s v="Serviço"/>
    <s v="IRA INSTITUTO ROBERTO ALVARENGA LTDA"/>
    <x v="22"/>
    <d v="2024-06-12T00:00:00"/>
    <x v="0"/>
    <m/>
  </r>
  <r>
    <x v="1"/>
    <n v="780825"/>
    <x v="0"/>
    <x v="144"/>
    <s v="THP85 INTELIGENCIA COMERCIAL LTDA."/>
    <s v="01/06/2024"/>
    <s v="20/06/2024"/>
    <n v="89"/>
    <s v="Analisar - Lançamento Fiscal"/>
    <n v="600"/>
    <n v="1.07301"/>
    <s v="Serviço"/>
    <s v="HOSPITAL DE ONCOLOGIA DO MEIER"/>
    <x v="22"/>
    <d v="2024-06-12T00:00:00"/>
    <x v="0"/>
    <m/>
  </r>
  <r>
    <x v="2"/>
    <n v="790911"/>
    <x v="0"/>
    <x v="145"/>
    <s v="SPARTA PLAN MEDIA COMUNICACAO LTDA_x0009_"/>
    <s v="11/06/2024"/>
    <s v="21/06/2024"/>
    <n v="202471"/>
    <s v="Verificar - Dados do Produto"/>
    <n v="7500"/>
    <n v="1.0740099999999999"/>
    <s v="Serviço"/>
    <s v="COMPLEXO HOSPITALAR UBERLANDIA S.A"/>
    <x v="20"/>
    <d v="2024-06-12T00:00:00"/>
    <x v="0"/>
    <m/>
  </r>
  <r>
    <x v="0"/>
    <n v="789560"/>
    <x v="0"/>
    <x v="146"/>
    <s v="MINERACAO CAMPO BRANCO LTDA"/>
    <s v="10/06/2024"/>
    <s v="24/06/2024"/>
    <n v="54993"/>
    <s v="Analisar - Lançamento Fiscal"/>
    <n v="485.76"/>
    <n v="1.01702"/>
    <s v="Material"/>
    <s v="CENTRO DE QUIMIOTERAPIA ONCOCLINICAS S/A "/>
    <x v="18"/>
    <d v="2024-06-12T00:00:00"/>
    <x v="0"/>
    <m/>
  </r>
  <r>
    <x v="3"/>
    <n v="787423"/>
    <x v="0"/>
    <x v="147"/>
    <s v="ROBSON DE SOUZA SANTOS 79185347515"/>
    <s v="07/06/2024"/>
    <s v="21/06/2024"/>
    <n v="63"/>
    <s v="Analisar - Lançamento Fiscal"/>
    <n v="2200"/>
    <n v="1.01501"/>
    <s v="Serviço"/>
    <s v="NUCLEO DE ONCOLOGIA DA BAHIA S.A "/>
    <x v="20"/>
    <d v="2024-06-12T00:00:00"/>
    <x v="0"/>
    <m/>
  </r>
  <r>
    <x v="0"/>
    <n v="786658"/>
    <x v="0"/>
    <x v="148"/>
    <s v="MANCLEAN DISTRIBUIDORA DE FILTROS LTDA"/>
    <s v="06/06/2024"/>
    <s v="21/06/2024"/>
    <n v="722"/>
    <s v="Analisar - Lançamento Fiscal"/>
    <n v="628.79999999999995"/>
    <n v="1.0620099999999999"/>
    <s v="Material"/>
    <s v="LOCUS - ANATOMIA PATOLOGICA E CITOLOGIA LTDA"/>
    <x v="20"/>
    <d v="2024-06-12T00:00:00"/>
    <x v="0"/>
    <m/>
  </r>
  <r>
    <x v="1"/>
    <n v="786149"/>
    <x v="0"/>
    <x v="149"/>
    <s v="DEDALUS PRIME SISTEMAS E SERVICOS DE INFORMATICA LTDA"/>
    <s v="06/06/2024"/>
    <s v="21/06/2024"/>
    <n v="92823"/>
    <s v="Verificar - Dados do Produto"/>
    <n v="4216.38"/>
    <n v="1.0010399999999999"/>
    <s v="Serviço"/>
    <s v="ONCOCLINICAS DO BRASIL SERVICOS MEDICOS SA"/>
    <x v="20"/>
    <d v="2024-06-12T00:00:00"/>
    <x v="0"/>
    <m/>
  </r>
  <r>
    <x v="2"/>
    <n v="783187"/>
    <x v="0"/>
    <x v="150"/>
    <s v="FULL TIME LOGISTICA LTDA"/>
    <s v="04/06/2024"/>
    <s v="21/06/2024"/>
    <n v="32162"/>
    <s v="Analisar - Lançamento Fiscal"/>
    <n v="713.64"/>
    <n v="1.03901"/>
    <s v="CTe"/>
    <s v="IDENGENE MEDICINA DIAGNOSTICA S.A"/>
    <x v="20"/>
    <d v="2024-06-12T00:00:00"/>
    <x v="0"/>
    <m/>
  </r>
  <r>
    <x v="3"/>
    <n v="790901"/>
    <x v="0"/>
    <x v="151"/>
    <s v="SERQUIP - TRATAMENTO DE RESIDUOS MG LTDA"/>
    <s v="10/06/2024"/>
    <s v="25/06/2024"/>
    <n v="202496906"/>
    <s v="Verificar - Dados do Produto"/>
    <n v="3841.25"/>
    <n v="1.06501"/>
    <s v="Serviço"/>
    <s v="IRA INSTITUTO ROBERTO ALVARENGA LTDA"/>
    <x v="24"/>
    <d v="2024-06-12T00:00:00"/>
    <x v="0"/>
    <m/>
  </r>
  <r>
    <x v="0"/>
    <n v="790956"/>
    <x v="0"/>
    <x v="152"/>
    <s v="X-MEDICAL ENGENHARIA E ASSISTENCIA TECNICA EIRELI"/>
    <s v="10/06/2024"/>
    <s v="24/06/2024"/>
    <n v="1922"/>
    <s v="Analisar - Lançamento Fiscal"/>
    <n v="1650"/>
    <n v="1.0740099999999999"/>
    <s v="Serviço"/>
    <s v="COMPLEXO HOSPITALAR UBERLANDIA S.A"/>
    <x v="18"/>
    <d v="2024-06-12T00:00:00"/>
    <x v="0"/>
    <m/>
  </r>
  <r>
    <x v="1"/>
    <n v="789232"/>
    <x v="0"/>
    <x v="153"/>
    <s v="ZHYCRON LOGISTICA LTDA"/>
    <s v="10/06/2024"/>
    <s v="24/06/2024"/>
    <n v="10308"/>
    <s v="Analisar - Lançamento Fiscal"/>
    <n v="3045"/>
    <n v="1.06501"/>
    <s v="Serviço"/>
    <s v="IRA INSTITUTO ROBERTO ALVARENGA LTDA"/>
    <x v="18"/>
    <d v="2024-06-12T00:00:00"/>
    <x v="0"/>
    <m/>
  </r>
  <r>
    <x v="2"/>
    <n v="784594"/>
    <x v="0"/>
    <x v="154"/>
    <s v="RSTECH ENGENHARIA E COMERCIO LTDA."/>
    <s v="05/06/2024"/>
    <s v="24/06/2024"/>
    <n v="2024444"/>
    <s v="Verificar - Dados do Produto"/>
    <n v="1304.2"/>
    <n v="1.0620099999999999"/>
    <s v="Serviço"/>
    <s v="LOCUS - ANATOMIA PATOLOGICA E CITOLOGIA LTDA"/>
    <x v="18"/>
    <d v="2024-06-12T00:00:00"/>
    <x v="0"/>
    <m/>
  </r>
  <r>
    <x v="3"/>
    <n v="781816"/>
    <x v="0"/>
    <x v="155"/>
    <s v="IRMAOS DUARTE CALIBRACOES LTDA - EPP"/>
    <s v="03/06/2024"/>
    <s v="24/06/2024"/>
    <n v="20241719"/>
    <s v="Analisar - Lançamento Fiscal"/>
    <n v="787.5"/>
    <n v="1.0860099999999999"/>
    <s v="Serviço"/>
    <s v="AIO- INSTITUTO DE CANCÊR"/>
    <x v="18"/>
    <d v="2024-06-12T00:00:00"/>
    <x v="0"/>
    <m/>
  </r>
  <r>
    <x v="0"/>
    <n v="790905"/>
    <x v="0"/>
    <x v="156"/>
    <s v="L. P. DOIN - CULTURA, LAZER E MARKETING LTDA"/>
    <s v="11/06/2024"/>
    <s v="25/06/2024"/>
    <n v="4329"/>
    <s v="Verificar - Dados do Produto"/>
    <n v="3472"/>
    <n v="1.0010399999999999"/>
    <s v="Serviço"/>
    <s v="ONCOCLINICAS DO BRASIL SERVICOS MEDICOS SA"/>
    <x v="24"/>
    <d v="2024-06-12T00:00:00"/>
    <x v="0"/>
    <m/>
  </r>
  <r>
    <x v="0"/>
    <n v="790903"/>
    <x v="0"/>
    <x v="157"/>
    <s v="L. P. DOIN - CULTURA, LAZER E MARKETING LTDA"/>
    <s v="11/06/2024"/>
    <s v="25/06/2024"/>
    <n v="4328"/>
    <s v="Verificar - Dados do Produto"/>
    <n v="672"/>
    <n v="1.0010399999999999"/>
    <s v="Serviço"/>
    <s v="ONCOCLINICAS DO BRASIL SERVICOS MEDICOS SA"/>
    <x v="24"/>
    <d v="2024-06-12T00:00:00"/>
    <x v="0"/>
    <m/>
  </r>
  <r>
    <x v="1"/>
    <n v="790902"/>
    <x v="0"/>
    <x v="158"/>
    <s v="REDE CIDADA"/>
    <s v="10/06/2024"/>
    <s v="25/06/2024"/>
    <n v="202412031"/>
    <s v="Verificar - Dados do Produto"/>
    <n v="1470.74"/>
    <n v="1.02901"/>
    <s v="Serviço"/>
    <s v="ONCOBIO SERVICOS DE SAUDE AS"/>
    <x v="24"/>
    <d v="2024-06-12T00:00:00"/>
    <x v="0"/>
    <m/>
  </r>
  <r>
    <x v="2"/>
    <n v="789101"/>
    <x v="0"/>
    <x v="159"/>
    <s v="FERNANDO MONTEIRO"/>
    <s v="10/06/2024"/>
    <s v="25/06/2024"/>
    <n v="20241311"/>
    <s v="Verificar - Dados do Produto"/>
    <n v="350"/>
    <n v="1.1020099999999999"/>
    <s v="Serviço"/>
    <s v="ONCO CARE PRUDENTE"/>
    <x v="24"/>
    <d v="2024-06-12T00:00:00"/>
    <x v="0"/>
    <m/>
  </r>
  <r>
    <x v="3"/>
    <n v="789080"/>
    <x v="0"/>
    <x v="160"/>
    <s v="KEMAKMURAN EXTINTORES LTDA ME"/>
    <s v="10/06/2024"/>
    <s v="25/06/2024"/>
    <n v="3974"/>
    <s v="Verificar - Dados do Produto"/>
    <n v="1980.3"/>
    <n v="1.0010699999999999"/>
    <s v="Serviço"/>
    <s v="ONCOCLINICAS DO BRASIL SERVICOS MEDICOS S.A. - CTO IPANEMA"/>
    <x v="24"/>
    <d v="2024-06-12T00:00:00"/>
    <x v="0"/>
    <m/>
  </r>
  <r>
    <x v="3"/>
    <n v="789077"/>
    <x v="0"/>
    <x v="161"/>
    <s v="KEMAKMURAN EXTINTORES LTDA ME"/>
    <s v="10/06/2024"/>
    <s v="25/06/2024"/>
    <n v="3972"/>
    <s v="Verificar - Dados do Produto"/>
    <n v="908.6"/>
    <n v="1.0480100000000001"/>
    <s v="Serviço"/>
    <s v="CENTRO DE TRATAMENTO DE TUMORES BOTAFOGO S.A. "/>
    <x v="24"/>
    <d v="2024-06-12T00:00:00"/>
    <x v="0"/>
    <m/>
  </r>
  <r>
    <x v="3"/>
    <n v="789074"/>
    <x v="0"/>
    <x v="162"/>
    <s v="KEMAKMURAN EXTINTORES LTDA ME"/>
    <s v="10/06/2024"/>
    <s v="25/06/2024"/>
    <n v="3970"/>
    <s v="Verificar - Dados do Produto"/>
    <n v="908.6"/>
    <n v="1.05701"/>
    <s v="Serviço"/>
    <s v="NAVARRA RJ SERVICOS ONCOLOGICOS S.A."/>
    <x v="24"/>
    <d v="2024-06-12T00:00:00"/>
    <x v="0"/>
    <m/>
  </r>
  <r>
    <x v="3"/>
    <n v="789072"/>
    <x v="0"/>
    <x v="163"/>
    <s v="KEMAKMURAN EXTINTORES LTDA ME"/>
    <s v="10/06/2024"/>
    <s v="25/06/2024"/>
    <n v="3968"/>
    <s v="Verificar - Dados do Produto"/>
    <n v="1980.3"/>
    <n v="1.00108"/>
    <s v="Serviço"/>
    <s v="ONCOCLINICAS DO BRASIL SERVICOS MEDICOS S.A. - CTO BARRA"/>
    <x v="24"/>
    <d v="2024-06-12T00:00:00"/>
    <x v="0"/>
    <m/>
  </r>
  <r>
    <x v="1"/>
    <n v="788977"/>
    <x v="0"/>
    <x v="164"/>
    <s v="DEDALUS PRIME SISTEMAS E SERVICOS DE INFORMATICA LTDA"/>
    <s v="10/06/2024"/>
    <s v="25/06/2024"/>
    <n v="92920"/>
    <s v="Verificar - Dados do Produto"/>
    <n v="1327.96"/>
    <n v="1.0010399999999999"/>
    <s v="Serviço"/>
    <s v="ONCOCLINICAS DO BRASIL SERVICOS MEDICOS SA"/>
    <x v="24"/>
    <d v="2024-06-12T00:00:00"/>
    <x v="0"/>
    <m/>
  </r>
  <r>
    <x v="0"/>
    <n v="788967"/>
    <x v="0"/>
    <x v="165"/>
    <s v="INSTITUTO DE ACREDITACAO E GESTAO, CONSULTORIA E SISTEMAS DE INFORMACAO LTDA - ME"/>
    <s v="04/06/2024"/>
    <s v="25/06/2024"/>
    <n v="20241337"/>
    <s v="Verificar - Dados do Produto"/>
    <n v="1550.69"/>
    <n v="1.00901"/>
    <s v="Serviço"/>
    <s v="MULTIHEMO SERVICOS MEDICOS S/A "/>
    <x v="24"/>
    <d v="2024-06-12T00:00:00"/>
    <x v="0"/>
    <m/>
  </r>
  <r>
    <x v="0"/>
    <n v="787477"/>
    <x v="0"/>
    <x v="166"/>
    <s v="EUROLATINO EMPREENDIMENTOS IMOBILIARIOS LTDA_x0009_"/>
    <s v="07/06/2024"/>
    <s v="25/06/2024"/>
    <n v="760"/>
    <s v="Analisar - Lançamento Fiscal"/>
    <n v="1795.12"/>
    <n v="1.0840099999999999"/>
    <s v="Serviço"/>
    <s v="UMC IMAGEM LTDA"/>
    <x v="24"/>
    <d v="2024-06-12T00:00:00"/>
    <x v="0"/>
    <m/>
  </r>
  <r>
    <x v="1"/>
    <n v="787476"/>
    <x v="0"/>
    <x v="167"/>
    <s v="INFORMACAO LTDA"/>
    <s v="07/06/2024"/>
    <s v="25/06/2024"/>
    <n v="2015"/>
    <s v="Analisar - Lançamento Fiscal"/>
    <n v="700"/>
    <n v="1.10301"/>
    <s v="Serviço"/>
    <s v="NEON - MATRIZ"/>
    <x v="24"/>
    <d v="2024-06-12T00:00:00"/>
    <x v="0"/>
    <m/>
  </r>
  <r>
    <x v="2"/>
    <n v="787327"/>
    <x v="0"/>
    <x v="168"/>
    <s v="INSTITUTO QUALISA DE GESTAO LTDA"/>
    <s v="07/06/2024"/>
    <s v="25/06/2024"/>
    <n v="63652"/>
    <s v="Verificar - Dados do Produto"/>
    <n v="1550.18"/>
    <n v="1.0620099999999999"/>
    <s v="Serviço"/>
    <s v="LOCUS - ANATOMIA PATOLOGICA E CITOLOGIA LTDA"/>
    <x v="24"/>
    <d v="2024-06-12T00:00:00"/>
    <x v="0"/>
    <m/>
  </r>
  <r>
    <x v="3"/>
    <n v="787271"/>
    <x v="0"/>
    <x v="169"/>
    <s v="ROCK COMUNICACAO S.A._x0009_"/>
    <s v="06/06/2024"/>
    <s v="25/06/2024"/>
    <n v="33987"/>
    <s v="Analisar - Lançamento Fiscal"/>
    <n v="3258.96"/>
    <n v="1.0010399999999999"/>
    <s v="Serviço"/>
    <s v="ONCOCLINICAS DO BRASIL SERVICOS MEDICOS SA"/>
    <x v="24"/>
    <d v="2024-06-12T00:00:00"/>
    <x v="0"/>
    <m/>
  </r>
  <r>
    <x v="0"/>
    <n v="785898"/>
    <x v="0"/>
    <x v="170"/>
    <s v="INTERPROCESS TECNOLOGIA DA INFORMACAO LTDA - EPP"/>
    <s v="05/06/2024"/>
    <s v="25/06/2024"/>
    <n v="585"/>
    <s v="Analisar - Lançamento Fiscal"/>
    <n v="2240"/>
    <n v="1.1610100000000001"/>
    <s v="Serviço"/>
    <s v="GIORDANI CAMICIA SERVICOS MEDICOS LTDA"/>
    <x v="24"/>
    <d v="2024-06-12T00:00:00"/>
    <x v="0"/>
    <m/>
  </r>
  <r>
    <x v="1"/>
    <n v="785849"/>
    <x v="0"/>
    <x v="171"/>
    <s v="IPEX LOG SERVICOS RAPIDOS LTDA"/>
    <s v="05/06/2024"/>
    <s v="25/06/2024"/>
    <n v="14408"/>
    <s v="Verificar - Dados do Produto"/>
    <n v="5367.01"/>
    <n v="1.0010399999999999"/>
    <s v="Serviço"/>
    <s v="ONCOCLINICAS DO BRASIL SERVICOS MEDICOS SA"/>
    <x v="24"/>
    <d v="2024-06-12T00:00:00"/>
    <x v="0"/>
    <m/>
  </r>
  <r>
    <x v="2"/>
    <n v="784606"/>
    <x v="0"/>
    <x v="172"/>
    <s v="GI GROUP BRASIL RECURSOS HUMANOS LTDA"/>
    <s v="05/06/2024"/>
    <s v="25/06/2024"/>
    <n v="199455"/>
    <s v="Verificar - Dados do Produto"/>
    <n v="542.66999999999996"/>
    <n v="1.0860099999999999"/>
    <s v="Serviço"/>
    <s v="AIO- INSTITUTO DE CANCÊR"/>
    <x v="24"/>
    <d v="2024-06-12T00:00:00"/>
    <x v="0"/>
    <m/>
  </r>
  <r>
    <x v="3"/>
    <n v="783154"/>
    <x v="0"/>
    <x v="173"/>
    <s v="BERTOLDI E BUZATTO LTDA"/>
    <s v="04/06/2024"/>
    <s v="25/06/2024"/>
    <n v="27992"/>
    <s v="Analisar - Lançamento Fiscal"/>
    <n v="103"/>
    <n v="1.0740099999999999"/>
    <s v="Serviço"/>
    <s v="COMPLEXO HOSPITALAR UBERLANDIA S.A"/>
    <x v="24"/>
    <d v="2024-06-12T00:00:00"/>
    <x v="0"/>
    <m/>
  </r>
  <r>
    <x v="3"/>
    <n v="782547"/>
    <x v="0"/>
    <x v="174"/>
    <s v="IRMAOS DUARTE CALIBRACOES LTDA - EPP"/>
    <s v="03/06/2024"/>
    <s v="25/06/2024"/>
    <n v="20241722"/>
    <s v="Verificar - Dados do Produto"/>
    <n v="1500"/>
    <n v="1.00108"/>
    <s v="Serviço"/>
    <s v="ONCOCLINICAS DO BRASIL SERVICOS MEDICOS S.A. - CTO BARRA"/>
    <x v="24"/>
    <d v="2024-06-12T00:00:00"/>
    <x v="0"/>
    <m/>
  </r>
  <r>
    <x v="0"/>
    <n v="790996"/>
    <x v="0"/>
    <x v="175"/>
    <s v="Ubertaxi - Cooperativa De Transporte De Passageiros De"/>
    <s v="11/06/2024"/>
    <s v="26/06/2024"/>
    <n v="4588"/>
    <s v="Analisar - Lançamento Fiscal"/>
    <n v="820.5"/>
    <n v="1.0740099999999999"/>
    <s v="Serviço"/>
    <s v="COMPLEXO HOSPITALAR UBERLANDIA S.A"/>
    <x v="17"/>
    <d v="2024-06-12T00:00:00"/>
    <x v="0"/>
    <m/>
  </r>
  <r>
    <x v="1"/>
    <n v="789131"/>
    <x v="0"/>
    <x v="176"/>
    <s v="ASSOCIACAO DE ENSINO SOCIAL PROFISSIONALIZANTE"/>
    <s v="10/06/2024"/>
    <s v="26/06/2024"/>
    <n v="410084"/>
    <s v="Verificar - Dados do Produto"/>
    <n v="2214.63"/>
    <n v="1.05701"/>
    <s v="Serviço"/>
    <s v="NAVARRA RJ SERVICOS ONCOLOGICOS S.A."/>
    <x v="17"/>
    <d v="2024-06-12T00:00:00"/>
    <x v="0"/>
    <m/>
  </r>
  <r>
    <x v="1"/>
    <n v="789119"/>
    <x v="0"/>
    <x v="177"/>
    <s v="ASSOCIACAO DE ENSINO SOCIAL PROFISSIONALIZANTE"/>
    <s v="10/06/2024"/>
    <s v="26/06/2024"/>
    <n v="410073"/>
    <s v="Verificar - Dados do Produto"/>
    <n v="1965.45"/>
    <n v="1.0010699999999999"/>
    <s v="Serviço"/>
    <s v="ONCOCLINICAS DO BRASIL SERVICOS MEDICOS S.A. - CTO IPANEMA"/>
    <x v="17"/>
    <d v="2024-06-12T00:00:00"/>
    <x v="0"/>
    <m/>
  </r>
  <r>
    <x v="1"/>
    <n v="789087"/>
    <x v="0"/>
    <x v="178"/>
    <s v="ASSOCIACAO DE ENSINO SOCIAL PROFISSIONALIZANTE"/>
    <s v="10/06/2024"/>
    <s v="26/06/2024"/>
    <n v="410061"/>
    <s v="Verificar - Dados do Produto"/>
    <n v="5883.85"/>
    <n v="1.0480100000000001"/>
    <s v="Serviço"/>
    <s v="CENTRO DE TRATAMENTO DE TUMORES BOTAFOGO S.A. "/>
    <x v="17"/>
    <d v="2024-06-12T00:00:00"/>
    <x v="0"/>
    <m/>
  </r>
  <r>
    <x v="2"/>
    <n v="784867"/>
    <x v="0"/>
    <x v="179"/>
    <s v="HIMALAIA COMERCIO DE PRODUTOS ALIMENTARES LTDA"/>
    <s v="05/06/2024"/>
    <s v="26/06/2024"/>
    <n v="1953682"/>
    <s v="Analisar - Lançamento Fiscal"/>
    <n v="1879.87"/>
    <n v="1.01702"/>
    <s v="Material"/>
    <s v="CENTRO DE QUIMIOTERAPIA ONCOCLINICAS S/A "/>
    <x v="17"/>
    <d v="2024-06-12T00:00:00"/>
    <x v="0"/>
    <m/>
  </r>
  <r>
    <x v="2"/>
    <n v="784612"/>
    <x v="0"/>
    <x v="180"/>
    <s v="GI GROUP BRASIL RECURSOS HUMANOS LTDA"/>
    <s v="05/06/2024"/>
    <s v="26/06/2024"/>
    <n v="199450"/>
    <s v="Verificar - Dados do Produto"/>
    <n v="4434.68"/>
    <n v="1.0860700000000001"/>
    <s v="Serviço"/>
    <s v="AIO- INSTITUTO DE CANCÊR"/>
    <x v="17"/>
    <d v="2024-06-12T00:00:00"/>
    <x v="0"/>
    <m/>
  </r>
  <r>
    <x v="2"/>
    <n v="784610"/>
    <x v="0"/>
    <x v="181"/>
    <s v="GI GROUP BRASIL RECURSOS HUMANOS LTDA"/>
    <s v="05/06/2024"/>
    <s v="26/06/2024"/>
    <n v="199448"/>
    <s v="Verificar - Dados do Produto"/>
    <n v="5570.53"/>
    <n v="1.0860099999999999"/>
    <s v="Serviço"/>
    <s v="AIO- INSTITUTO DE CANCÊR"/>
    <x v="17"/>
    <d v="2024-06-12T00:00:00"/>
    <x v="0"/>
    <m/>
  </r>
  <r>
    <x v="3"/>
    <n v="784564"/>
    <x v="0"/>
    <x v="182"/>
    <s v="PHOENIX SERVICOS MEDICOS LTDA"/>
    <s v="05/06/2024"/>
    <s v="15/06/2024"/>
    <n v="17572"/>
    <s v="Verificar - Dados do Produto"/>
    <n v="307.85000000000002"/>
    <n v="1.0460199999999999"/>
    <s v="Serviço"/>
    <s v="COT - CENTRO ONCOLOGICO DO TRIANGULO S.A "/>
    <x v="19"/>
    <d v="2024-06-12T00:00:00"/>
    <x v="0"/>
    <m/>
  </r>
  <r>
    <x v="0"/>
    <n v="789240"/>
    <x v="0"/>
    <x v="183"/>
    <s v="CENTRO DE INTEGRACAO EMPRESA ESCOLA CIE E"/>
    <s v="10/06/2024"/>
    <s v="27/06/2024"/>
    <n v="30229"/>
    <s v="Analisar - Lançamento Fiscal"/>
    <n v="667.14"/>
    <n v="1.0860099999999999"/>
    <s v="Serviço"/>
    <s v="AIO- INSTITUTO DE CANCÊR"/>
    <x v="29"/>
    <d v="2024-06-12T00:00:00"/>
    <x v="0"/>
    <m/>
  </r>
  <r>
    <x v="3"/>
    <n v="789157"/>
    <x v="0"/>
    <x v="184"/>
    <s v="BRASANITAS HOSPITALAR - HIGIENIZACAO E CONSERVACAO DE AMBIENTES DE SAUDE LTDA"/>
    <s v="06/06/2024"/>
    <s v="27/06/2024"/>
    <n v="46465"/>
    <s v="Verificar - Dados do Produto"/>
    <n v="384.01"/>
    <n v="1.0820099999999999"/>
    <s v="Serviço"/>
    <s v="COTE - CENTRO ONCOLOGICO E TRATAMENTOS ESPECIAIS LTDA"/>
    <x v="29"/>
    <d v="2024-06-12T00:00:00"/>
    <x v="0"/>
    <m/>
  </r>
  <r>
    <x v="3"/>
    <n v="789156"/>
    <x v="0"/>
    <x v="185"/>
    <s v="BRASANITAS HOSPITALAR - HIGIENIZACAO E CONSERVACAO DE AMBIENTES DE SAUDE LTDA"/>
    <s v="06/06/2024"/>
    <s v="27/06/2024"/>
    <n v="46464"/>
    <s v="Verificar - Dados do Produto"/>
    <n v="2390.39"/>
    <n v="1.05701"/>
    <s v="Serviço"/>
    <s v="NAVARRA RJ SERVICOS ONCOLOGICOS S.A."/>
    <x v="29"/>
    <d v="2024-06-12T00:00:00"/>
    <x v="0"/>
    <m/>
  </r>
  <r>
    <x v="1"/>
    <n v="787523"/>
    <x v="0"/>
    <x v="186"/>
    <s v="IRON MOUNTAIN DO BRASIL"/>
    <s v="07/06/2024"/>
    <s v="27/06/2024"/>
    <n v="101997"/>
    <s v="Verificar - Dados do Produto"/>
    <n v="11.54"/>
    <n v="1.0480100000000001"/>
    <s v="Serviço"/>
    <s v="CENTRO DE TRATAMENTO DE TUMORES BOTAFOGO S.A. "/>
    <x v="29"/>
    <d v="2024-06-12T00:00:00"/>
    <x v="0"/>
    <m/>
  </r>
  <r>
    <x v="2"/>
    <n v="788989"/>
    <x v="0"/>
    <x v="187"/>
    <s v="FIGUEIREDO &amp; PITON ADVOGADOS ASSOCIADOS_x0009_"/>
    <s v="10/06/2024"/>
    <s v="28/06/2024"/>
    <n v="1816"/>
    <s v="Verificar - Dados do Produto"/>
    <n v="2118"/>
    <n v="1.07701"/>
    <s v="Serviço"/>
    <s v="CLION CLINICA DE ONCOLOGIA LTDA"/>
    <x v="16"/>
    <d v="2024-06-12T00:00:00"/>
    <x v="0"/>
    <m/>
  </r>
  <r>
    <x v="2"/>
    <n v="788988"/>
    <x v="0"/>
    <x v="188"/>
    <s v="FIGUEIREDO &amp; PITON ADVOGADOS ASSOCIADOS_x0009_"/>
    <s v="10/06/2024"/>
    <s v="28/06/2024"/>
    <n v="1815"/>
    <s v="Verificar - Dados do Produto"/>
    <n v="2118"/>
    <n v="1.0760099999999999"/>
    <s v="Serviço"/>
    <s v="CAM - CLINICA DE ASSISTENCIA A MULHER LTDA"/>
    <x v="16"/>
    <d v="2024-06-12T00:00:00"/>
    <x v="0"/>
    <m/>
  </r>
  <r>
    <x v="3"/>
    <n v="787342"/>
    <x v="0"/>
    <x v="189"/>
    <s v="PREV MAIS GERADORES LTDA"/>
    <s v="07/06/2024"/>
    <s v="28/06/2024"/>
    <n v="22"/>
    <s v="Verificar - Dados do Produto"/>
    <n v="360"/>
    <n v="1.05402"/>
    <s v="Serviço"/>
    <s v="NUCLEO DE HEMATOLOGIA E TRANSPLANTE DE MEDULA OSSEA DE MINAS GERAIS LTDA."/>
    <x v="16"/>
    <d v="2024-06-12T00:00:00"/>
    <x v="0"/>
    <m/>
  </r>
  <r>
    <x v="0"/>
    <n v="784687"/>
    <x v="0"/>
    <x v="190"/>
    <s v="ELEVADORES ATLAS SCHINDLER LTDA."/>
    <s v="05/06/2024"/>
    <s v="28/06/2024"/>
    <n v="502612"/>
    <s v="Verificar - Dados do Produto"/>
    <n v="405.15"/>
    <n v="1.03901"/>
    <s v="Serviço"/>
    <s v="IDENGENE MEDICINA DIAGNOSTICA S.A"/>
    <x v="16"/>
    <d v="2024-06-12T00:00:00"/>
    <x v="0"/>
    <m/>
  </r>
  <r>
    <x v="1"/>
    <n v="784602"/>
    <x v="0"/>
    <x v="191"/>
    <s v="VARIAN MEDICAL SYSTEMS BRASIL LTDA."/>
    <s v="05/06/2024"/>
    <s v="30/06/2024"/>
    <n v="5236"/>
    <s v="Verificar - Dados do Produto"/>
    <n v="118365.72"/>
    <n v="1.07101"/>
    <s v="Serviço"/>
    <s v="CENTRO BRASILEIRO DE RADIOTERAPIA ONCOLOGIA E MASTOLOGIA - CEBROM LTDA"/>
    <x v="16"/>
    <d v="2024-06-12T00:00:00"/>
    <x v="0"/>
    <m/>
  </r>
  <r>
    <x v="2"/>
    <n v="790991"/>
    <x v="0"/>
    <x v="192"/>
    <s v="ANJOS DA GUARDA MONITORAMENTO E COMERCIO DE SEGURANCA ELETRONICA LTDA"/>
    <s v="11/06/2024"/>
    <s v="30/06/2024"/>
    <n v="2024898"/>
    <s v="Verificar - Dados do Produto"/>
    <n v="240"/>
    <n v="1.02701"/>
    <s v="Serviço"/>
    <s v="HEMATOLOGICA - CLINICA DE HEMATOLOGIA S/A "/>
    <x v="16"/>
    <d v="2024-06-12T00:00:00"/>
    <x v="0"/>
    <m/>
  </r>
  <r>
    <x v="3"/>
    <n v="788951"/>
    <x v="0"/>
    <x v="193"/>
    <s v="ONISAUDE LTDA"/>
    <s v="10/06/2024"/>
    <s v="05/07/2024"/>
    <n v="1617"/>
    <s v="Verificar - Dados do Produto"/>
    <n v="10338.719999999999"/>
    <n v="1.07101"/>
    <s v="Serviço"/>
    <s v="CENTRO BRASILEIRO DE RADIOTERAPIA ONCOLOGIA E MASTOLOGIA - CEBROM LTDA"/>
    <x v="30"/>
    <d v="2024-06-12T00:00:00"/>
    <x v="0"/>
    <m/>
  </r>
  <r>
    <x v="3"/>
    <n v="788950"/>
    <x v="0"/>
    <x v="194"/>
    <s v="ONISAUDE LTDA"/>
    <s v="10/06/2024"/>
    <s v="05/07/2024"/>
    <n v="1618"/>
    <s v="Verificar - Dados do Produto"/>
    <n v="2969.11"/>
    <n v="1.08101"/>
    <s v="Serviço"/>
    <s v="CTR - CENTRO DE TRATAMENTO RADIOTERAPICO DE ANAPOLIS LTDA"/>
    <x v="30"/>
    <d v="2024-06-12T00:00:00"/>
    <x v="0"/>
    <m/>
  </r>
  <r>
    <x v="3"/>
    <n v="788949"/>
    <x v="0"/>
    <x v="195"/>
    <s v="ONISAUDE LTDA"/>
    <s v="10/06/2024"/>
    <s v="05/07/2024"/>
    <n v="1619"/>
    <s v="Verificar - Dados do Produto"/>
    <n v="3089.72"/>
    <n v="1.0720099999999999"/>
    <s v="Serviço"/>
    <s v="CTR CENTRO DE TRATAMENTO RADIOTERAPICO LTDA"/>
    <x v="30"/>
    <d v="2024-06-12T00:00:00"/>
    <x v="0"/>
    <m/>
  </r>
  <r>
    <x v="0"/>
    <n v="786111"/>
    <x v="0"/>
    <x v="196"/>
    <s v="GALAXIA IMUNIZACAO E CONTROLE DE PRAGAS URBANAS LTDA"/>
    <s v="03/06/2024"/>
    <s v="30/06/2024"/>
    <n v="2024440"/>
    <s v="Verificar - Dados do Produto"/>
    <n v="1783"/>
    <n v="1.02901"/>
    <s v="Serviço"/>
    <s v="ONCOBIO SERVICOS DE SAUDE AS"/>
    <x v="16"/>
    <d v="2024-06-12T00:00:00"/>
    <x v="0"/>
    <m/>
  </r>
  <r>
    <x v="1"/>
    <n v="785840"/>
    <x v="0"/>
    <x v="197"/>
    <s v="VARIAN MEDICAL SYSTEMS BRASIL LTDA."/>
    <s v="05/06/2024"/>
    <s v="30/06/2024"/>
    <n v="5253"/>
    <s v="Verificar - Dados do Produto"/>
    <n v="22770.14"/>
    <n v="1.0720099999999999"/>
    <s v="Serviço"/>
    <s v="CTR CENTRO DE TRATAMENTO RADIOTERAPICO LTDA"/>
    <x v="16"/>
    <d v="2024-06-12T00:00:00"/>
    <x v="0"/>
    <m/>
  </r>
  <r>
    <x v="1"/>
    <n v="785838"/>
    <x v="0"/>
    <x v="198"/>
    <s v="VARIAN MEDICAL SYSTEMS BRASIL LTDA."/>
    <s v="05/06/2024"/>
    <s v="30/06/2024"/>
    <n v="5254"/>
    <s v="Verificar - Dados do Produto"/>
    <n v="62775.91"/>
    <n v="1.08101"/>
    <s v="Serviço"/>
    <s v="CTR - CENTRO DE TRATAMENTO RADIOTERAPICO DE ANAPOLIS LTDA"/>
    <x v="16"/>
    <d v="2024-06-12T00:00:00"/>
    <x v="0"/>
    <m/>
  </r>
  <r>
    <x v="1"/>
    <n v="784475"/>
    <x v="0"/>
    <x v="199"/>
    <s v="CONTROL LAB CONTROLE DE QUALIDADE P LABORATORIOS LTDA"/>
    <s v="05/06/2024"/>
    <s v="30/06/2024"/>
    <n v="448255"/>
    <s v="Verificar - Dados do Produto"/>
    <n v="2110.62"/>
    <n v="1.07301"/>
    <s v="Serviço"/>
    <s v="HOSPITAL DE ONCOLOGIA DO MEIER"/>
    <x v="16"/>
    <d v="2024-06-12T00:00:00"/>
    <x v="0"/>
    <m/>
  </r>
  <r>
    <x v="2"/>
    <n v="781555"/>
    <x v="0"/>
    <x v="200"/>
    <s v="3R SERVICOS DE MANUTENCAO E COMERCIO LTDA_x0009_"/>
    <s v="03/06/2024"/>
    <s v="30/06/2024"/>
    <n v="2093"/>
    <s v="Verificar - Dados do Produto"/>
    <n v="31641.75"/>
    <n v="1.07602"/>
    <s v="Serviço"/>
    <s v="CAM - CLINICA DE ASSISTENCIA A MULHER LTDA"/>
    <x v="16"/>
    <d v="2024-06-12T00:00:00"/>
    <x v="0"/>
    <m/>
  </r>
  <r>
    <x v="3"/>
    <n v="780964"/>
    <x v="0"/>
    <x v="201"/>
    <s v="MERCATTO DISTRIBUIDORA LTDA."/>
    <s v="02/06/2024"/>
    <s v="30/06/2024"/>
    <n v="9336"/>
    <s v="Analisar - Lançamento Fiscal"/>
    <n v="2353.9"/>
    <n v="1.0010399999999999"/>
    <s v="Material"/>
    <s v="ONCOCLINICAS DO BRASIL SERVICOS MEDICOS SA"/>
    <x v="16"/>
    <d v="2024-06-12T00:00:00"/>
    <x v="0"/>
    <m/>
  </r>
  <r>
    <x v="0"/>
    <n v="789931"/>
    <x v="0"/>
    <x v="202"/>
    <s v="PANAMERICANA SUPRIMENTOS PARA INFORMATICA LTDA"/>
    <s v="10/06/2024"/>
    <s v="01/07/2024"/>
    <n v="177390"/>
    <s v="Analisar - Lançamento Fiscal"/>
    <n v="355.78"/>
    <n v="1.02701"/>
    <s v="Material"/>
    <s v="HEMATOLOGICA - CLINICA DE HEMATOLOGIA S/A "/>
    <x v="31"/>
    <d v="2024-06-12T00:00:00"/>
    <x v="0"/>
    <m/>
  </r>
  <r>
    <x v="3"/>
    <n v="789260"/>
    <x v="0"/>
    <x v="203"/>
    <s v="BRASANITAS HOSPITALAR - HIGIENIZACAO E CONSERVACAO DE AMBIENTES DE SAUDE LTDA"/>
    <s v="07/06/2024"/>
    <s v="01/07/2024"/>
    <n v="46521"/>
    <s v="Analisar - Lançamento Fiscal"/>
    <n v="4251.38"/>
    <n v="1.0420100000000001"/>
    <s v="Serviço"/>
    <s v="CENTRO DE TRATAMENTO EM RADIOTERAPIA LTDA "/>
    <x v="31"/>
    <d v="2024-06-12T00:00:00"/>
    <x v="0"/>
    <m/>
  </r>
  <r>
    <x v="3"/>
    <n v="789219"/>
    <x v="0"/>
    <x v="204"/>
    <s v="BRASANITAS HOSPITALAR - HIGIENIZACAO E CONSERVACAO DE AMBIENTES DE SAUDE LTDA"/>
    <s v="07/06/2024"/>
    <s v="01/07/2024"/>
    <n v="46516"/>
    <s v="Verificar - Dados do Produto"/>
    <n v="11438.44"/>
    <n v="1.09501"/>
    <s v="Serviço"/>
    <s v="CORP CENTRO DE ONCOLOGIA DE RIO PRETO S.A."/>
    <x v="31"/>
    <d v="2024-06-12T00:00:00"/>
    <x v="0"/>
    <m/>
  </r>
  <r>
    <x v="3"/>
    <n v="789211"/>
    <x v="0"/>
    <x v="205"/>
    <s v="BRASANITAS HOSPITALAR - HIGIENIZACAO E CONSERVACAO DE AMBIENTES DE SAUDE LTDA"/>
    <s v="07/06/2024"/>
    <s v="01/07/2024"/>
    <n v="46509"/>
    <s v="Verificar - Dados do Produto"/>
    <n v="10805.9"/>
    <n v="1.08202"/>
    <s v="Serviço"/>
    <s v="Cote - Centro Oncologico e Tratamentos Especiais LTDA"/>
    <x v="31"/>
    <d v="2024-06-12T00:00:00"/>
    <x v="0"/>
    <m/>
  </r>
  <r>
    <x v="3"/>
    <n v="789198"/>
    <x v="0"/>
    <x v="206"/>
    <s v="BRASANITAS HOSPITALAR - HIGIENIZACAO E CONSERVACAO DE AMBIENTES DE SAUDE LTDA"/>
    <s v="07/06/2024"/>
    <s v="01/07/2024"/>
    <n v="46502"/>
    <s v="Verificar - Dados do Produto"/>
    <n v="5763.61"/>
    <n v="1.0460199999999999"/>
    <s v="Serviço"/>
    <s v="COT - CENTRO ONCOLOGICO DO TRIANGULO S.A "/>
    <x v="31"/>
    <d v="2024-06-12T00:00:00"/>
    <x v="0"/>
    <m/>
  </r>
  <r>
    <x v="3"/>
    <n v="789179"/>
    <x v="0"/>
    <x v="207"/>
    <s v="BRASANITAS HOSPITALAR - HIGIENIZACAO E CONSERVACAO DE AMBIENTES DE SAUDE LTDA"/>
    <s v="07/06/2024"/>
    <s v="01/07/2024"/>
    <n v="46493"/>
    <s v="Verificar - Dados do Produto"/>
    <n v="10706.04"/>
    <n v="1.04603"/>
    <s v="Serviço"/>
    <s v="COT - CENTRO ONCOLOGICO DO TRIANGULO S.A "/>
    <x v="31"/>
    <d v="2024-06-12T00:00:00"/>
    <x v="0"/>
    <m/>
  </r>
  <r>
    <x v="3"/>
    <n v="789168"/>
    <x v="0"/>
    <x v="208"/>
    <s v="BRASANITAS HOSPITALAR - HIGIENIZACAO E CONSERVACAO DE AMBIENTES DE SAUDE LTDA"/>
    <s v="07/06/2024"/>
    <s v="01/07/2024"/>
    <n v="46489"/>
    <s v="Verificar - Dados do Produto"/>
    <n v="144451.24"/>
    <n v="1.02701"/>
    <s v="Serviço"/>
    <s v="HEMATOLOGICA - CLINICA DE HEMATOLOGIA S/A "/>
    <x v="31"/>
    <d v="2024-06-12T00:00:00"/>
    <x v="0"/>
    <m/>
  </r>
  <r>
    <x v="3"/>
    <n v="789167"/>
    <x v="0"/>
    <x v="209"/>
    <s v="BRASANITAS HOSPITALAR - HIGIENIZACAO E CONSERVACAO DE AMBIENTES DE SAUDE LTDA"/>
    <s v="07/06/2024"/>
    <s v="01/07/2024"/>
    <n v="46488"/>
    <s v="Verificar - Dados do Produto"/>
    <n v="20285.36"/>
    <n v="1.00101"/>
    <s v="Serviço"/>
    <s v="ONCOCLINICAS DO BRASIL SERVICOS MEDICOS SA"/>
    <x v="31"/>
    <d v="2024-06-12T00:00:00"/>
    <x v="0"/>
    <m/>
  </r>
  <r>
    <x v="1"/>
    <n v="789137"/>
    <x v="0"/>
    <x v="210"/>
    <s v="ASSOCIACAO DE ENSINO SOCIAL PROFISSIONALIZANTE"/>
    <s v="10/06/2024"/>
    <s v="01/07/2024"/>
    <n v="410125"/>
    <s v="Verificar - Dados do Produto"/>
    <n v="3987.04"/>
    <n v="1.00901"/>
    <s v="Serviço"/>
    <s v="MULTIHEMO SERVICOS MEDICOS S/A "/>
    <x v="31"/>
    <d v="2024-06-12T00:00:00"/>
    <x v="0"/>
    <m/>
  </r>
  <r>
    <x v="1"/>
    <n v="789111"/>
    <x v="0"/>
    <x v="211"/>
    <s v="ASSOCIACAO DE ENSINO SOCIAL PROFISSIONALIZANTE"/>
    <s v="10/06/2024"/>
    <s v="01/07/2024"/>
    <n v="410063"/>
    <s v="Verificar - Dados do Produto"/>
    <n v="1885.28"/>
    <n v="1.00301"/>
    <s v="Serviço"/>
    <s v="ONCO CLINICA RECIFE LTDA"/>
    <x v="31"/>
    <d v="2024-06-12T00:00:00"/>
    <x v="0"/>
    <m/>
  </r>
  <r>
    <x v="1"/>
    <n v="789093"/>
    <x v="0"/>
    <x v="212"/>
    <s v="ASSOCIACAO DE ENSINO SOCIAL PROFISSIONALIZANTE"/>
    <s v="10/06/2024"/>
    <s v="01/07/2024"/>
    <n v="410060"/>
    <s v="Verificar - Dados do Produto"/>
    <n v="8360.2800000000007"/>
    <n v="1.02701"/>
    <s v="Serviço"/>
    <s v="HEMATOLOGICA - CLINICA DE HEMATOLOGIA S/A "/>
    <x v="31"/>
    <d v="2024-06-12T00:00:00"/>
    <x v="0"/>
    <m/>
  </r>
  <r>
    <x v="1"/>
    <n v="789091"/>
    <x v="0"/>
    <x v="213"/>
    <s v="ASSOCIACAO DE ENSINO SOCIAL PROFISSIONALIZANTE"/>
    <s v="10/06/2024"/>
    <s v="01/07/2024"/>
    <n v="410133"/>
    <s v="Analisar - Lançamento Fiscal"/>
    <n v="4446.5600000000004"/>
    <n v="1.0960099999999999"/>
    <s v="Serviço"/>
    <s v="CENTRO PERNAMBUCANO DE ONCOLOGIA S.A."/>
    <x v="31"/>
    <d v="2024-06-12T00:00:00"/>
    <x v="0"/>
    <m/>
  </r>
  <r>
    <x v="1"/>
    <n v="788910"/>
    <x v="0"/>
    <x v="214"/>
    <s v="METROMED ELETROMEDICINA LTDA"/>
    <s v="03/06/2024"/>
    <s v="01/07/2024"/>
    <n v="1102"/>
    <s v="Verificar - Dados do Produto"/>
    <n v="44779.83"/>
    <n v="1.0740099999999999"/>
    <s v="Serviço"/>
    <s v="COMPLEXO HOSPITALAR UBERLANDIA S.A"/>
    <x v="31"/>
    <d v="2024-06-12T00:00:00"/>
    <x v="0"/>
    <m/>
  </r>
  <r>
    <x v="2"/>
    <n v="787334"/>
    <x v="0"/>
    <x v="215"/>
    <s v="FUNDACAO DOM CABRAL_x0009_"/>
    <s v="01/06/2024"/>
    <s v="01/07/2024"/>
    <n v="50418"/>
    <s v="Verificar - Dados do Produto"/>
    <n v="11700"/>
    <n v="1.0010399999999999"/>
    <s v="Serviço"/>
    <s v="ONCOCLINICAS DO BRASIL SERVICOS MEDICOS SA"/>
    <x v="31"/>
    <d v="2024-06-12T00:00:00"/>
    <x v="0"/>
    <m/>
  </r>
  <r>
    <x v="3"/>
    <n v="785919"/>
    <x v="0"/>
    <x v="216"/>
    <s v="BRASANITAS HOSPITALAR - HIGIENIZACAO E CONSERVACAO DE AMBIENTES DE SAUDE LTDA"/>
    <s v="05/06/2024"/>
    <s v="01/07/2024"/>
    <n v="46380"/>
    <s v="Verificar - Dados do Produto"/>
    <n v="57313.62"/>
    <n v="1.0060100000000001"/>
    <s v="Serviço"/>
    <s v="ONCOCLINICA - CENTRO DE TRATAMENTO ONCOLOGICO S.A."/>
    <x v="31"/>
    <d v="2024-06-12T00:00:00"/>
    <x v="0"/>
    <m/>
  </r>
  <r>
    <x v="3"/>
    <n v="785908"/>
    <x v="0"/>
    <x v="217"/>
    <s v="BRASANITAS HOSPITALAR - HIGIENIZACAO E CONSERVACAO DE AMBIENTES DE SAUDE LTDA"/>
    <s v="05/06/2024"/>
    <s v="01/07/2024"/>
    <n v="46377"/>
    <s v="Verificar - Dados do Produto"/>
    <n v="20285.36"/>
    <n v="1.00101"/>
    <s v="Serviço"/>
    <s v="ONCOCLINICAS DO BRASIL SERVICOS MEDICOS SA"/>
    <x v="31"/>
    <d v="2024-06-12T00:00:00"/>
    <x v="0"/>
    <m/>
  </r>
  <r>
    <x v="3"/>
    <n v="784694"/>
    <x v="0"/>
    <x v="218"/>
    <s v="ECM SOLUCOES EMPRESARIAIS LTDA - EPP"/>
    <s v="04/06/2024"/>
    <s v="01/07/2024"/>
    <n v="1745"/>
    <s v="Verificar - Dados do Produto"/>
    <n v="938"/>
    <n v="1.0300100000000001"/>
    <s v="Serviço"/>
    <s v="INSTITUTO ONCOLOGICO DE RIBEIRAO PRETO S.A"/>
    <x v="31"/>
    <d v="2024-06-12T00:00:00"/>
    <x v="0"/>
    <m/>
  </r>
  <r>
    <x v="0"/>
    <n v="782091"/>
    <x v="0"/>
    <x v="219"/>
    <s v="JK COMERCIO DE FERRAGENS LTDA"/>
    <s v="03/06/2024"/>
    <s v="03/07/2024"/>
    <n v="19656"/>
    <s v="Analisar - Lançamento Fiscal"/>
    <n v="1134.3"/>
    <n v="1.05802"/>
    <s v="Material"/>
    <s v="ANGARA ONCOLOGIA E PARTICIPACOES S.A."/>
    <x v="32"/>
    <d v="2024-06-12T00:00:00"/>
    <x v="0"/>
    <m/>
  </r>
  <r>
    <x v="0"/>
    <n v="782072"/>
    <x v="0"/>
    <x v="220"/>
    <s v="JK COMERCIO DE FERRAGENS LTDA"/>
    <s v="03/06/2024"/>
    <s v="03/07/2024"/>
    <n v="19658"/>
    <s v="Analisar - Lançamento Fiscal"/>
    <n v="1445.9"/>
    <n v="1.0490200000000001"/>
    <s v="Material"/>
    <s v="ALIANCA INSTITUTO DE ONCOLOGIA S.A."/>
    <x v="32"/>
    <d v="2024-06-12T00:00:00"/>
    <x v="0"/>
    <m/>
  </r>
  <r>
    <x v="0"/>
    <n v="782035"/>
    <x v="0"/>
    <x v="221"/>
    <s v="JK COMERCIO DE FERRAGENS LTDA"/>
    <s v="03/06/2024"/>
    <s v="03/07/2024"/>
    <n v="19660"/>
    <s v="Analisar - Lançamento Fiscal"/>
    <n v="651.70000000000005"/>
    <n v="1.04101"/>
    <s v="Material"/>
    <s v="ONCO VIDA INSTITUTO ESPECIALIZADO DE ONCOLOGIA S.A"/>
    <x v="32"/>
    <d v="2024-06-12T00:00:00"/>
    <x v="0"/>
    <m/>
  </r>
  <r>
    <x v="1"/>
    <n v="781467"/>
    <x v="0"/>
    <x v="222"/>
    <s v="OPEN NEW TELECOMUNICACOES LTDA_x0009_"/>
    <s v="02/06/2024"/>
    <s v="01/07/2024"/>
    <n v="2393"/>
    <s v="Verificar - Dados do Produto"/>
    <n v="1710"/>
    <n v="1.0920099999999999"/>
    <s v="Serviço"/>
    <s v="ONCO &amp; HEMATO SERVICOS MEDICOS S.A."/>
    <x v="31"/>
    <d v="2024-06-12T00:00:00"/>
    <x v="0"/>
    <m/>
  </r>
  <r>
    <x v="2"/>
    <n v="781464"/>
    <x v="0"/>
    <x v="223"/>
    <s v="EQUIPACARE SERVICOS ESPECIALIZADOS DE APOIO TECNICO LTDA"/>
    <s v="03/06/2024"/>
    <s v="01/07/2024"/>
    <n v="4511"/>
    <s v="Verificar - Dados do Produto"/>
    <n v="1762.43"/>
    <n v="1.0340100000000001"/>
    <s v="Serviço"/>
    <s v="RADIOTERAPIA ONCOCLINICAS RECIFE LTDA"/>
    <x v="31"/>
    <d v="2024-06-12T00:00:00"/>
    <x v="0"/>
    <m/>
  </r>
  <r>
    <x v="1"/>
    <n v="781461"/>
    <x v="0"/>
    <x v="224"/>
    <s v="OPEN NEW TELECOMUNICACOES LTDA_x0009_"/>
    <s v="02/06/2024"/>
    <s v="01/07/2024"/>
    <n v="2388"/>
    <s v="Verificar - Dados do Produto"/>
    <n v="800"/>
    <n v="1.09701"/>
    <s v="Serviço"/>
    <s v="IMUNOMED CLINICA DE INFUSAO E ESPECIALIDADES S/A"/>
    <x v="31"/>
    <d v="2024-06-12T00:00:00"/>
    <x v="0"/>
    <m/>
  </r>
  <r>
    <x v="3"/>
    <n v="790935"/>
    <x v="0"/>
    <x v="225"/>
    <s v="PHILIPS CLINICAL INFORMATICS - SISTEMAS DE INFORMACAO LTDA"/>
    <s v="10/06/2024"/>
    <s v="10/07/2024"/>
    <n v="142849"/>
    <s v="Verificar - Dados do Produto"/>
    <n v="3219.3"/>
    <n v="1.0920099999999999"/>
    <s v="Serviço"/>
    <s v="ONCO &amp; HEMATO SERVICOS MEDICOS S.A."/>
    <x v="28"/>
    <d v="2024-06-12T00:00:00"/>
    <x v="0"/>
    <m/>
  </r>
  <r>
    <x v="3"/>
    <n v="790934"/>
    <x v="0"/>
    <x v="226"/>
    <s v="PHILIPS CLINICAL INFORMATICS - SISTEMAS DE INFORMACAO LTDA"/>
    <s v="10/06/2024"/>
    <s v="10/07/2024"/>
    <n v="142796"/>
    <s v="Verificar - Dados do Produto"/>
    <n v="3219.3"/>
    <n v="1.09301"/>
    <s v="Serviço"/>
    <s v="SERVICO DE ATENDIMENTO MEDICO E DIAGNOSTICO LTDA"/>
    <x v="28"/>
    <d v="2024-06-12T00:00:00"/>
    <x v="0"/>
    <m/>
  </r>
  <r>
    <x v="0"/>
    <n v="790923"/>
    <x v="0"/>
    <x v="227"/>
    <s v="SMC GERADORES LTDA_x0009_"/>
    <s v="11/06/2024"/>
    <s v="11/07/2024"/>
    <n v="2581"/>
    <s v="Verificar - Dados do Produto"/>
    <n v="3424.74"/>
    <n v="1.0740099999999999"/>
    <s v="Serviço"/>
    <s v="COMPLEXO HOSPITALAR UBERLANDIA S.A"/>
    <x v="33"/>
    <d v="2024-06-12T00:00:00"/>
    <x v="0"/>
    <m/>
  </r>
  <r>
    <x v="1"/>
    <n v="790870"/>
    <x v="0"/>
    <x v="228"/>
    <s v="KIROPHARMA FARMACIA LTDA"/>
    <s v="11/06/2024"/>
    <s v="11/07/2024"/>
    <n v="16371"/>
    <s v="Analisar - Lançamento Fiscal"/>
    <n v="883.5"/>
    <n v="1.0740099999999999"/>
    <s v="Serviço"/>
    <s v="COMPLEXO HOSPITALAR UBERLANDIA S.A"/>
    <x v="33"/>
    <d v="2024-06-12T00:00:00"/>
    <x v="0"/>
    <m/>
  </r>
  <r>
    <x v="0"/>
    <n v="790741"/>
    <x v="0"/>
    <x v="229"/>
    <s v="FAMAP NUTRICAO PARENTERAL LTDA"/>
    <s v="10/06/2024"/>
    <s v="10/07/2024"/>
    <n v="415544"/>
    <s v="Analisar - Lançamento Fiscal"/>
    <n v="358.11"/>
    <n v="1.0740099999999999"/>
    <s v="Material"/>
    <s v="COMPLEXO HOSPITALAR UBERLANDIA S.A"/>
    <x v="28"/>
    <d v="2024-06-12T00:00:00"/>
    <x v="0"/>
    <m/>
  </r>
  <r>
    <x v="2"/>
    <n v="790730"/>
    <x v="0"/>
    <x v="230"/>
    <s v="WHITE MARTINS GASES INDUSTRIAIS LTDA"/>
    <s v="10/06/2024"/>
    <s v="08/07/2024"/>
    <n v="24"/>
    <s v="Verificar - Dados do Produto"/>
    <n v="7004.32"/>
    <n v="1.0740099999999999"/>
    <s v="Material"/>
    <s v="COMPLEXO HOSPITALAR UBERLANDIA S.A"/>
    <x v="34"/>
    <d v="2024-06-12T00:00:00"/>
    <x v="0"/>
    <m/>
  </r>
  <r>
    <x v="2"/>
    <n v="790676"/>
    <x v="0"/>
    <x v="231"/>
    <s v="WHITE MARTINS GASES INDUSTRIAIS LTDA"/>
    <s v="10/06/2024"/>
    <s v="08/07/2024"/>
    <n v="5905"/>
    <s v="Verificar - Dados do Produto"/>
    <n v="673.12"/>
    <n v="1.0740099999999999"/>
    <s v="Material"/>
    <s v="COMPLEXO HOSPITALAR UBERLANDIA S.A"/>
    <x v="34"/>
    <d v="2024-06-12T00:00:00"/>
    <x v="0"/>
    <m/>
  </r>
  <r>
    <x v="3"/>
    <n v="790521"/>
    <x v="0"/>
    <x v="232"/>
    <s v="SERRAMED PRODUTOS HOSPITALARES EIRELI"/>
    <s v="10/06/2024"/>
    <s v="08/07/2024"/>
    <n v="17739"/>
    <s v="Analisar - Lançamento Fiscal"/>
    <n v="145"/>
    <n v="1.1000099999999999"/>
    <s v="Material"/>
    <s v="IRV - MATRIZ"/>
    <x v="34"/>
    <d v="2024-06-12T00:00:00"/>
    <x v="0"/>
    <m/>
  </r>
  <r>
    <x v="0"/>
    <n v="790519"/>
    <x v="0"/>
    <x v="233"/>
    <s v="LIDERA PRO COMERCIO DE PRODUTOS E SERVICOS LTDA"/>
    <s v="10/06/2024"/>
    <s v="10/07/2024"/>
    <n v="1791"/>
    <s v="Analisar - Lançamento Fiscal"/>
    <n v="33.61"/>
    <n v="1.1000099999999999"/>
    <s v="Material"/>
    <s v="IRV - MATRIZ"/>
    <x v="28"/>
    <d v="2024-06-12T00:00:00"/>
    <x v="0"/>
    <m/>
  </r>
  <r>
    <x v="1"/>
    <n v="790338"/>
    <x v="0"/>
    <x v="234"/>
    <s v="F G INFOTEC RECIFE EIRELI"/>
    <s v="10/06/2024"/>
    <s v="10/07/2024"/>
    <n v="10059"/>
    <s v="Analisar - Lançamento Fiscal"/>
    <n v="715.43"/>
    <n v="1.0960099999999999"/>
    <s v="Material"/>
    <s v="CENTRO PERNAMBUCANO DE ONCOLOGIA S.A."/>
    <x v="28"/>
    <d v="2024-06-12T00:00:00"/>
    <x v="0"/>
    <m/>
  </r>
  <r>
    <x v="1"/>
    <n v="790337"/>
    <x v="0"/>
    <x v="235"/>
    <s v="F G INFOTEC RECIFE EIRELI"/>
    <s v="10/06/2024"/>
    <s v="10/07/2024"/>
    <n v="10058"/>
    <s v="Analisar - Lançamento Fiscal"/>
    <n v="439.2"/>
    <n v="1.0960099999999999"/>
    <s v="Material"/>
    <s v="CENTRO PERNAMBUCANO DE ONCOLOGIA S.A."/>
    <x v="28"/>
    <d v="2024-06-12T00:00:00"/>
    <x v="0"/>
    <m/>
  </r>
  <r>
    <x v="2"/>
    <n v="790276"/>
    <x v="0"/>
    <x v="236"/>
    <s v="AGROMETAL COMERCIAL DE FERRAGENS LTDA"/>
    <s v="10/06/2024"/>
    <s v="10/07/2024"/>
    <n v="800845"/>
    <s v="Analisar - Lançamento Fiscal"/>
    <n v="67.400000000000006"/>
    <n v="1.09501"/>
    <s v="Material"/>
    <s v="CORP CENTRO DE ONCOLOGIA DE RIO PRETO S.A."/>
    <x v="28"/>
    <d v="2024-06-12T00:00:00"/>
    <x v="0"/>
    <m/>
  </r>
  <r>
    <x v="3"/>
    <n v="789576"/>
    <x v="0"/>
    <x v="237"/>
    <s v="USIBRAS USINA BRASILEIRA DE OLEOS E CASTANHA LTDA"/>
    <s v="10/06/2024"/>
    <s v="15/07/2024"/>
    <n v="106118"/>
    <s v="Analisar - Lançamento Fiscal"/>
    <n v="2756.64"/>
    <n v="1.01501"/>
    <s v="Material"/>
    <s v="NUCLEO DE ONCOLOGIA DA BAHIA S.A "/>
    <x v="35"/>
    <d v="2024-06-12T00:00:00"/>
    <x v="0"/>
    <m/>
  </r>
  <r>
    <x v="0"/>
    <n v="789540"/>
    <x v="0"/>
    <x v="238"/>
    <s v="SUZANO S.A."/>
    <s v="10/06/2024"/>
    <s v="08/07/2024"/>
    <n v="1257"/>
    <s v="Verificar - Dados do Produto"/>
    <n v="1219.3599999999999"/>
    <n v="1.00902"/>
    <s v="Material"/>
    <s v="MULTIHEMO SERVICOS MEDICOS S/A "/>
    <x v="34"/>
    <d v="2024-06-12T00:00:00"/>
    <x v="0"/>
    <m/>
  </r>
  <r>
    <x v="3"/>
    <n v="789271"/>
    <x v="0"/>
    <x v="239"/>
    <s v="IRMAOS DUARTE CALIBRACOES LTDA - EPP"/>
    <s v="10/06/2024"/>
    <s v="10/07/2024"/>
    <n v="20241811"/>
    <s v="Analisar - Lançamento Fiscal"/>
    <n v="1925"/>
    <n v="1.08202"/>
    <s v="Serviço"/>
    <s v="Cote - Centro Oncologico e Tratamentos Especiais LTDA"/>
    <x v="28"/>
    <d v="2024-06-12T00:00:00"/>
    <x v="0"/>
    <m/>
  </r>
  <r>
    <x v="2"/>
    <n v="789265"/>
    <x v="0"/>
    <x v="240"/>
    <s v="PROLAB - LABORATORIO DE BIOTECNOLOGIA S/S LTDA - EPP"/>
    <s v="10/06/2024"/>
    <s v="02/07/2024"/>
    <n v="29823"/>
    <s v="Verificar - Dados do Produto"/>
    <n v="2069.5"/>
    <n v="1.0460100000000001"/>
    <s v="Serviço"/>
    <s v="COT - CENTRO ONCOLOGICO DO TRIANGULO S.A "/>
    <x v="23"/>
    <d v="2024-06-12T00:00:00"/>
    <x v="0"/>
    <m/>
  </r>
  <r>
    <x v="1"/>
    <n v="789249"/>
    <x v="0"/>
    <x v="241"/>
    <s v="ECOLIMP SISTEMAS DE SERVICOS LTDA."/>
    <s v="08/06/2024"/>
    <s v="10/07/2024"/>
    <n v="1047"/>
    <s v="Verificar - Dados do Produto"/>
    <n v="6419.43"/>
    <n v="1.0900700000000001"/>
    <s v="Serviço"/>
    <s v="CETTRO - CENTRO DE TRATAMENTO ONCOLOGICO LTDA"/>
    <x v="28"/>
    <d v="2024-06-12T00:00:00"/>
    <x v="0"/>
    <m/>
  </r>
  <r>
    <x v="2"/>
    <n v="789186"/>
    <x v="0"/>
    <x v="242"/>
    <s v="ELEVADORES SITO LTDA_x0009_"/>
    <s v="10/06/2024"/>
    <s v="05/07/2024"/>
    <n v="40766"/>
    <s v="Verificar - Dados do Produto"/>
    <n v="160"/>
    <n v="1.07501"/>
    <s v="Serviço"/>
    <s v="MICROIMAGEM LAB DE ANATOMIA PAT E CITOPATOLOGIA SC LTDA"/>
    <x v="30"/>
    <d v="2024-06-12T00:00:00"/>
    <x v="0"/>
    <m/>
  </r>
  <r>
    <x v="3"/>
    <n v="789144"/>
    <x v="0"/>
    <x v="243"/>
    <s v="APROVEH ASSOCIACAO PROFISSIONALIZANTE COM VALORES EDUCACIONAIS E HUMANOS"/>
    <s v="10/06/2024"/>
    <s v="02/07/2024"/>
    <n v="4066"/>
    <s v="Verificar - Dados do Produto"/>
    <n v="3856.06"/>
    <n v="1.0840099999999999"/>
    <s v="Serviço"/>
    <s v="UMC IMAGEM LTDA"/>
    <x v="23"/>
    <d v="2024-06-12T00:00:00"/>
    <x v="0"/>
    <m/>
  </r>
  <r>
    <x v="0"/>
    <n v="789082"/>
    <x v="0"/>
    <x v="244"/>
    <s v="CAFEINA COMUNICACAO E MARKETING LTDA"/>
    <s v="10/06/2024"/>
    <s v="10/07/2024"/>
    <n v="1943"/>
    <s v="Verificar - Dados do Produto"/>
    <n v="112.5"/>
    <n v="1.0860099999999999"/>
    <s v="Serviço"/>
    <s v="AIO- INSTITUTO DE CANCÊR"/>
    <x v="28"/>
    <d v="2024-06-12T00:00:00"/>
    <x v="0"/>
    <m/>
  </r>
  <r>
    <x v="1"/>
    <n v="789033"/>
    <x v="0"/>
    <x v="245"/>
    <s v="CALIL COMERCIO E SERVICOS DE EQUIP CONTRA INCENDIO LTDA"/>
    <s v="10/06/2024"/>
    <s v="05/07/2024"/>
    <n v="887"/>
    <s v="Verificar - Dados do Produto"/>
    <n v="1116.26"/>
    <n v="1.07603"/>
    <s v="Serviço"/>
    <s v="CAM - CLINICA DE ASSISTENCIA A MULHER LTDA"/>
    <x v="30"/>
    <d v="2024-06-12T00:00:00"/>
    <x v="0"/>
    <m/>
  </r>
  <r>
    <x v="1"/>
    <n v="789031"/>
    <x v="0"/>
    <x v="246"/>
    <s v="CALIL COMERCIO E SERVICOS DE EQUIP CONTRA INCENDIO LTDA"/>
    <s v="10/06/2024"/>
    <s v="05/07/2024"/>
    <n v="886"/>
    <s v="Verificar - Dados do Produto"/>
    <n v="1225.3900000000001"/>
    <n v="1.07602"/>
    <s v="Serviço"/>
    <s v="CAM - CLINICA DE ASSISTENCIA A MULHER LTDA"/>
    <x v="30"/>
    <d v="2024-06-12T00:00:00"/>
    <x v="0"/>
    <m/>
  </r>
  <r>
    <x v="2"/>
    <n v="789018"/>
    <x v="0"/>
    <x v="247"/>
    <s v="NORTE AMBIENTAL TRAT. DE RESIDUOS LTDA"/>
    <s v="10/06/2024"/>
    <s v="05/07/2024"/>
    <n v="20241315"/>
    <s v="Verificar - Dados do Produto"/>
    <n v="456.4"/>
    <n v="1.0940099999999999"/>
    <s v="Serviço"/>
    <s v="AIO INSTITUTO DE CANCER DE MANAUS LTDA"/>
    <x v="30"/>
    <d v="2024-06-12T00:00:00"/>
    <x v="0"/>
    <m/>
  </r>
  <r>
    <x v="2"/>
    <n v="789001"/>
    <x v="0"/>
    <x v="248"/>
    <s v="PROLAB - LABORATORIO DE BIOTECNOLOGIA S/S LTDA - EPP"/>
    <s v="10/06/2024"/>
    <s v="02/07/2024"/>
    <n v="29799"/>
    <s v="Verificar - Dados do Produto"/>
    <n v="1129"/>
    <n v="1.02301"/>
    <s v="Serviço"/>
    <s v="NOS - NUCLEO DE ONCOLOGIA DE SERGIPE S.A"/>
    <x v="23"/>
    <d v="2024-06-12T00:00:00"/>
    <x v="0"/>
    <m/>
  </r>
  <r>
    <x v="2"/>
    <n v="788998"/>
    <x v="0"/>
    <x v="249"/>
    <s v="PROLAB - LABORATORIO DE BIOTECNOLOGIA S/S LTDA - EPP"/>
    <s v="10/06/2024"/>
    <s v="02/07/2024"/>
    <n v="29798"/>
    <s v="Verificar - Dados do Produto"/>
    <n v="950"/>
    <n v="1.05501"/>
    <s v="Serviço"/>
    <s v="PRO-ONCO - CENTRO DE TRATAMENTO ONCOLOGICO S.A."/>
    <x v="23"/>
    <d v="2024-06-12T00:00:00"/>
    <x v="0"/>
    <m/>
  </r>
  <r>
    <x v="2"/>
    <n v="788997"/>
    <x v="0"/>
    <x v="250"/>
    <s v="PROLAB - LABORATORIO DE BIOTECNOLOGIA S/S LTDA - EPP"/>
    <s v="10/06/2024"/>
    <s v="02/07/2024"/>
    <n v="29796"/>
    <s v="Analisar - Lançamento Fiscal"/>
    <n v="1428.21"/>
    <n v="1.01501"/>
    <s v="Serviço"/>
    <s v="NUCLEO DE ONCOLOGIA DA BAHIA S.A "/>
    <x v="23"/>
    <d v="2024-06-12T00:00:00"/>
    <x v="0"/>
    <m/>
  </r>
  <r>
    <x v="3"/>
    <n v="788954"/>
    <x v="0"/>
    <x v="251"/>
    <s v="MCASTILHO SERVICOS MEDICOS LIMITADA"/>
    <s v="10/06/2024"/>
    <s v="05/07/2024"/>
    <n v="202416"/>
    <s v="Verificar - Dados do Produto"/>
    <n v="7705"/>
    <n v="1.04301"/>
    <s v="Serviço"/>
    <s v="RADIOCARE SERVICOS MEDICOS ESPECIALIZADOS LTDA "/>
    <x v="30"/>
    <d v="2024-06-12T00:00:00"/>
    <x v="0"/>
    <m/>
  </r>
  <r>
    <x v="1"/>
    <n v="788941"/>
    <x v="0"/>
    <x v="252"/>
    <s v="ECOLIMP SISTEMAS DE SERVICOS LTDA."/>
    <s v="08/06/2024"/>
    <s v="10/07/2024"/>
    <n v="1049"/>
    <s v="Verificar - Dados do Produto"/>
    <n v="6419.43"/>
    <n v="1.0900300000000001"/>
    <s v="Serviço"/>
    <s v="CETTRO - CENTRO DE TRATAMENTO ONCOLOGICO LTDA"/>
    <x v="28"/>
    <d v="2024-06-12T00:00:00"/>
    <x v="0"/>
    <m/>
  </r>
  <r>
    <x v="0"/>
    <n v="788915"/>
    <x v="0"/>
    <x v="253"/>
    <s v="FAMAP NUTRICAO PARENTERAL LTDA"/>
    <s v="09/06/2024"/>
    <s v="07/07/2024"/>
    <n v="415453"/>
    <s v="Verificar - Dados do Produto"/>
    <n v="951.99"/>
    <n v="1.02901"/>
    <s v="Material"/>
    <s v="ONCOBIO SERVICOS DE SAUDE AS"/>
    <x v="30"/>
    <d v="2024-06-12T00:00:00"/>
    <x v="0"/>
    <m/>
  </r>
  <r>
    <x v="0"/>
    <n v="788913"/>
    <x v="0"/>
    <x v="254"/>
    <s v="SOCIEDADE BRASILEIRA DE PATOLOGIA CLINICA/MEDICINA LABORATORIAL"/>
    <s v="09/06/2024"/>
    <s v="05/07/2024"/>
    <n v="32704"/>
    <s v="Verificar - Dados do Produto"/>
    <n v="1066.49"/>
    <n v="1.03901"/>
    <s v="Serviço"/>
    <s v="IDENGENE MEDICINA DIAGNOSTICA S.A"/>
    <x v="30"/>
    <d v="2024-06-12T00:00:00"/>
    <x v="0"/>
    <m/>
  </r>
  <r>
    <x v="0"/>
    <n v="788867"/>
    <x v="0"/>
    <x v="255"/>
    <s v="FAMAP NUTRICAO PARENTERAL LTDA"/>
    <s v="08/06/2024"/>
    <s v="06/07/2024"/>
    <n v="415367"/>
    <s v="Verificar - Dados do Produto"/>
    <n v="757.68"/>
    <n v="1.02901"/>
    <s v="Material"/>
    <s v="ONCOBIO SERVICOS DE SAUDE AS"/>
    <x v="30"/>
    <d v="2024-06-12T00:00:00"/>
    <x v="0"/>
    <m/>
  </r>
  <r>
    <x v="1"/>
    <n v="788665"/>
    <x v="0"/>
    <x v="256"/>
    <s v="MGD RAMOS DISTRIBUIDORA LTDA"/>
    <s v="07/06/2024"/>
    <s v="05/07/2024"/>
    <n v="8197"/>
    <s v="Analisar - Lançamento Fiscal"/>
    <n v="1285.32"/>
    <n v="1.0010699999999999"/>
    <s v="Material"/>
    <s v="ONCOCLINICAS DO BRASIL SERVICOS MEDICOS S.A. - CTO IPANEMA"/>
    <x v="30"/>
    <d v="2024-06-12T00:00:00"/>
    <x v="0"/>
    <m/>
  </r>
  <r>
    <x v="2"/>
    <n v="788484"/>
    <x v="0"/>
    <x v="257"/>
    <s v="G2F COMERCIO DE PRODUTOS DE HIGIENE E LIMPEZA LTDA"/>
    <s v="07/06/2024"/>
    <s v="07/07/2024"/>
    <n v="32236"/>
    <s v="Analisar - Lançamento Fiscal"/>
    <n v="555.14"/>
    <n v="1.1000099999999999"/>
    <s v="Material"/>
    <s v="IRV - MATRIZ"/>
    <x v="30"/>
    <d v="2024-06-12T00:00:00"/>
    <x v="0"/>
    <m/>
  </r>
  <r>
    <x v="3"/>
    <n v="788482"/>
    <x v="0"/>
    <x v="258"/>
    <s v="FRACALOSSI MATERIAL ELETRICO LTDA"/>
    <s v="07/06/2024"/>
    <s v="05/07/2024"/>
    <n v="108216"/>
    <s v="Analisar - Lançamento Fiscal"/>
    <n v="130"/>
    <n v="1.1000099999999999"/>
    <s v="Material"/>
    <s v="IRV - MATRIZ"/>
    <x v="30"/>
    <d v="2024-06-12T00:00:00"/>
    <x v="0"/>
    <m/>
  </r>
  <r>
    <x v="0"/>
    <n v="788475"/>
    <x v="0"/>
    <x v="259"/>
    <s v="LS TEXTIL LTDA"/>
    <s v="07/06/2024"/>
    <s v="10/07/2024"/>
    <n v="1659"/>
    <s v="Analisar - Lançamento Fiscal"/>
    <n v="1680.71"/>
    <n v="1.09701"/>
    <s v="Material"/>
    <s v="IMUNOMED CLINICA DE INFUSAO E ESPECIALIDADES S/A"/>
    <x v="28"/>
    <d v="2024-06-12T00:00:00"/>
    <x v="0"/>
    <m/>
  </r>
  <r>
    <x v="1"/>
    <n v="788474"/>
    <x v="0"/>
    <x v="260"/>
    <s v="ATACADO SAO PAULO LTDA"/>
    <s v="07/06/2024"/>
    <s v="05/07/2024"/>
    <n v="653796"/>
    <s v="Analisar - Lançamento Fiscal"/>
    <n v="370.12"/>
    <n v="1.09701"/>
    <s v="Material"/>
    <s v="IMUNOMED CLINICA DE INFUSAO E ESPECIALIDADES S/A"/>
    <x v="30"/>
    <d v="2024-06-12T00:00:00"/>
    <x v="0"/>
    <m/>
  </r>
  <r>
    <x v="2"/>
    <n v="788333"/>
    <x v="0"/>
    <x v="261"/>
    <s v="TIGRE COMERCIO DE GENEROS ALIMENTICIOS LTDA"/>
    <s v="07/06/2024"/>
    <s v="05/07/2024"/>
    <n v="93408"/>
    <s v="Analisar - Lançamento Fiscal"/>
    <n v="1264"/>
    <n v="1.0860099999999999"/>
    <s v="Material"/>
    <s v="AIO- INSTITUTO DE CANCÊR"/>
    <x v="30"/>
    <d v="2024-06-12T00:00:00"/>
    <x v="0"/>
    <m/>
  </r>
  <r>
    <x v="2"/>
    <n v="788329"/>
    <x v="0"/>
    <x v="262"/>
    <s v="TIGRE COMERCIO DE GENEROS ALIMENTICIOS LTDA"/>
    <s v="07/06/2024"/>
    <s v="05/07/2024"/>
    <n v="93409"/>
    <s v="Analisar - Lançamento Fiscal"/>
    <n v="3771"/>
    <n v="1.0860099999999999"/>
    <s v="Material"/>
    <s v="AIO- INSTITUTO DE CANCÊR"/>
    <x v="30"/>
    <d v="2024-06-12T00:00:00"/>
    <x v="0"/>
    <m/>
  </r>
  <r>
    <x v="3"/>
    <n v="788203"/>
    <x v="0"/>
    <x v="263"/>
    <s v="BRS SP SUPRIMENTOS CORPORATIVOS S/A_x0009_"/>
    <s v="07/06/2024"/>
    <s v="22/07/2024"/>
    <n v="445344"/>
    <s v="Analisar - Lançamento Fiscal"/>
    <n v="2484.14"/>
    <n v="1.0480100000000001"/>
    <s v="Material"/>
    <s v="CENTRO DE TRATAMENTO DE TUMORES BOTAFOGO S.A. "/>
    <x v="36"/>
    <d v="2024-06-12T00:00:00"/>
    <x v="0"/>
    <m/>
  </r>
  <r>
    <x v="0"/>
    <n v="787955"/>
    <x v="0"/>
    <x v="264"/>
    <s v="MAGICPRINT GRAFICA LTDA_x0009_"/>
    <s v="07/06/2024"/>
    <s v="07/07/2024"/>
    <n v="1802"/>
    <s v="Analisar - Lançamento Fiscal"/>
    <n v="3638"/>
    <n v="1.0460100000000001"/>
    <s v="Material"/>
    <s v="COT - CENTRO ONCOLOGICO DO TRIANGULO S.A "/>
    <x v="30"/>
    <d v="2024-06-12T00:00:00"/>
    <x v="0"/>
    <m/>
  </r>
  <r>
    <x v="1"/>
    <n v="787928"/>
    <x v="0"/>
    <x v="265"/>
    <s v="SUPRICORP SUPRIMENTOS LTDA"/>
    <s v="07/06/2024"/>
    <s v="04/07/2024"/>
    <n v="6937208"/>
    <s v="Analisar - Lançamento Fiscal"/>
    <n v="2007.74"/>
    <n v="1.03901"/>
    <s v="Material"/>
    <s v="IDENGENE MEDICINA DIAGNOSTICA S.A"/>
    <x v="37"/>
    <d v="2024-06-12T00:00:00"/>
    <x v="0"/>
    <m/>
  </r>
  <r>
    <x v="0"/>
    <n v="787906"/>
    <x v="0"/>
    <x v="266"/>
    <s v="FAMAP NUTRICAO PARENTERAL LTDA"/>
    <s v="07/06/2024"/>
    <s v="05/07/2024"/>
    <n v="415298"/>
    <s v="Verificar - Dados do Produto"/>
    <n v="1678.99"/>
    <n v="1.02901"/>
    <s v="Material"/>
    <s v="ONCOBIO SERVICOS DE SAUDE AS"/>
    <x v="30"/>
    <d v="2024-06-12T00:00:00"/>
    <x v="0"/>
    <m/>
  </r>
  <r>
    <x v="2"/>
    <n v="787891"/>
    <x v="0"/>
    <x v="267"/>
    <s v="OXIMIL OXIGENIO MINAS GERAIS LTDA"/>
    <s v="07/06/2024"/>
    <s v="05/07/2024"/>
    <n v="31204"/>
    <s v="Analisar - Lançamento Fiscal"/>
    <n v="352.6"/>
    <n v="1.02701"/>
    <s v="Material"/>
    <s v="HEMATOLOGICA - CLINICA DE HEMATOLOGIA S/A "/>
    <x v="30"/>
    <d v="2024-06-12T00:00:00"/>
    <x v="0"/>
    <m/>
  </r>
  <r>
    <x v="3"/>
    <n v="787882"/>
    <x v="0"/>
    <x v="268"/>
    <s v="PISOLAR COMERCIO DE TINTAS LTDA"/>
    <s v="07/06/2024"/>
    <s v="07/07/2024"/>
    <n v="228253"/>
    <s v="Analisar - Lançamento Fiscal"/>
    <n v="244.02"/>
    <n v="1.02301"/>
    <s v="Material"/>
    <s v="NOS - NUCLEO DE ONCOLOGIA DE SERGIPE S.A"/>
    <x v="30"/>
    <d v="2024-06-12T00:00:00"/>
    <x v="0"/>
    <m/>
  </r>
  <r>
    <x v="0"/>
    <n v="787833"/>
    <x v="0"/>
    <x v="269"/>
    <s v="CIL COMERCIO DE INFORMATICA LTDA"/>
    <s v="07/06/2024"/>
    <s v="07/07/2024"/>
    <n v="649934"/>
    <s v="Analisar - Lançamento Fiscal"/>
    <n v="3445.05"/>
    <n v="1.01501"/>
    <s v="Material"/>
    <s v="NUCLEO DE ONCOLOGIA DA BAHIA S.A "/>
    <x v="30"/>
    <d v="2024-06-12T00:00:00"/>
    <x v="0"/>
    <m/>
  </r>
  <r>
    <x v="1"/>
    <n v="787556"/>
    <x v="0"/>
    <x v="270"/>
    <s v="SAINT CLAIRE IND E COMERCIO LTDA - EPP"/>
    <s v="07/06/2024"/>
    <s v="20/07/2024"/>
    <n v="5433"/>
    <s v="Analisar - Lançamento Fiscal"/>
    <n v="4122"/>
    <n v="1.00105"/>
    <s v="Material"/>
    <s v="ONCOCLINICAS DO BRASIL SERVICOS MEDICOS SA"/>
    <x v="38"/>
    <d v="2024-06-12T00:00:00"/>
    <x v="0"/>
    <m/>
  </r>
  <r>
    <x v="2"/>
    <n v="787554"/>
    <x v="0"/>
    <x v="271"/>
    <s v="VCH - IMPORTADORA, EXPORTADORA E DISTRIBUICAO DE PRODUTOS LTDA"/>
    <s v="07/06/2024"/>
    <s v="07/07/2024"/>
    <n v="65109"/>
    <s v="Verificar - Dados do Produto"/>
    <n v="1092"/>
    <n v="1.00105"/>
    <s v="Material"/>
    <s v="ONCOCLINICAS DO BRASIL SERVICOS MEDICOS SA"/>
    <x v="30"/>
    <d v="2024-06-12T00:00:00"/>
    <x v="0"/>
    <m/>
  </r>
  <r>
    <x v="1"/>
    <n v="787525"/>
    <x v="0"/>
    <x v="272"/>
    <s v="IRON MOUNTAIN DO BRASIL"/>
    <s v="07/06/2024"/>
    <s v="26/07/2024"/>
    <n v="101862"/>
    <s v="Verificar - Dados do Produto"/>
    <n v="8261.5499999999993"/>
    <n v="1.0480100000000001"/>
    <s v="Serviço"/>
    <s v="CENTRO DE TRATAMENTO DE TUMORES BOTAFOGO S.A. "/>
    <x v="39"/>
    <d v="2024-06-12T00:00:00"/>
    <x v="0"/>
    <m/>
  </r>
  <r>
    <x v="1"/>
    <n v="787521"/>
    <x v="0"/>
    <x v="273"/>
    <s v="IRON MOUNTAIN DO BRASIL"/>
    <s v="07/06/2024"/>
    <s v="26/07/2024"/>
    <n v="102155"/>
    <s v="Verificar - Dados do Produto"/>
    <n v="1822.27"/>
    <n v="1.0480100000000001"/>
    <s v="Serviço"/>
    <s v="CENTRO DE TRATAMENTO DE TUMORES BOTAFOGO S.A. "/>
    <x v="39"/>
    <d v="2024-06-12T00:00:00"/>
    <x v="0"/>
    <m/>
  </r>
  <r>
    <x v="3"/>
    <n v="787425"/>
    <x v="0"/>
    <x v="274"/>
    <s v="L M DE SOUZA INSTRUMENTOS HOSPITALARES"/>
    <s v="07/06/2024"/>
    <s v="07/07/2024"/>
    <n v="657"/>
    <s v="Analisar - Lançamento Fiscal"/>
    <n v="2687"/>
    <n v="1.07101"/>
    <s v="Serviço"/>
    <s v="CENTRO BRASILEIRO DE RADIOTERAPIA ONCOLOGIA E MASTOLOGIA - CEBROM LTDA"/>
    <x v="30"/>
    <d v="2024-06-12T00:00:00"/>
    <x v="0"/>
    <m/>
  </r>
  <r>
    <x v="0"/>
    <n v="787402"/>
    <x v="0"/>
    <x v="275"/>
    <s v="MUDE MOBILIARIOS URBANOS DESPORTIVOS S.A"/>
    <s v="06/06/2024"/>
    <s v="05/07/2024"/>
    <n v="1980"/>
    <s v="Analisar - Lançamento Fiscal"/>
    <n v="8085"/>
    <n v="1.07101"/>
    <s v="Serviço"/>
    <s v="CENTRO BRASILEIRO DE RADIOTERAPIA ONCOLOGIA E MASTOLOGIA - CEBROM LTDA"/>
    <x v="30"/>
    <d v="2024-06-12T00:00:00"/>
    <x v="0"/>
    <m/>
  </r>
  <r>
    <x v="1"/>
    <n v="787322"/>
    <x v="0"/>
    <x v="276"/>
    <s v="FORCEONE NEGOCIOS &amp; CONSULTORIA LTDA"/>
    <s v="07/06/2024"/>
    <s v="06/07/2024"/>
    <n v="2024213"/>
    <s v="Verificar - Dados do Produto"/>
    <n v="12583.33"/>
    <n v="1.0010399999999999"/>
    <s v="Serviço"/>
    <s v="ONCOCLINICAS DO BRASIL SERVICOS MEDICOS SA"/>
    <x v="30"/>
    <d v="2024-06-12T00:00:00"/>
    <x v="0"/>
    <m/>
  </r>
  <r>
    <x v="1"/>
    <n v="787321"/>
    <x v="0"/>
    <x v="277"/>
    <s v="FORCEONE NEGOCIOS &amp; CONSULTORIA LTDA"/>
    <s v="07/06/2024"/>
    <s v="06/07/2024"/>
    <n v="2024212"/>
    <s v="Verificar - Dados do Produto"/>
    <n v="11550"/>
    <n v="1.0010399999999999"/>
    <s v="Serviço"/>
    <s v="ONCOCLINICAS DO BRASIL SERVICOS MEDICOS SA"/>
    <x v="30"/>
    <d v="2024-06-12T00:00:00"/>
    <x v="0"/>
    <m/>
  </r>
  <r>
    <x v="2"/>
    <n v="787308"/>
    <x v="0"/>
    <x v="278"/>
    <s v="GSYNC ENGENHARIA LTDA"/>
    <s v="07/06/2024"/>
    <s v="05/07/2024"/>
    <n v="2522"/>
    <s v="Verificar - Dados do Produto"/>
    <n v="1133"/>
    <n v="1.07101"/>
    <s v="Serviço"/>
    <s v="CENTRO BRASILEIRO DE RADIOTERAPIA ONCOLOGIA E MASTOLOGIA - CEBROM LTDA"/>
    <x v="30"/>
    <d v="2024-06-12T00:00:00"/>
    <x v="0"/>
    <m/>
  </r>
  <r>
    <x v="3"/>
    <n v="787299"/>
    <x v="0"/>
    <x v="279"/>
    <s v="ROBERT HALF TRABALHO TEMPORARIO LTDA."/>
    <s v="07/06/2024"/>
    <s v="05/07/2024"/>
    <n v="2024848"/>
    <s v="Verificar - Dados do Produto"/>
    <n v="9340.19"/>
    <n v="1.00101"/>
    <s v="Serviço"/>
    <s v="ONCOCLINICAS DO BRASIL SERVICOS MEDICOS SA"/>
    <x v="30"/>
    <d v="2024-06-12T00:00:00"/>
    <x v="0"/>
    <m/>
  </r>
  <r>
    <x v="3"/>
    <n v="787297"/>
    <x v="0"/>
    <x v="280"/>
    <s v="ROBERT HALF TRABALHO TEMPORARIO LTDA."/>
    <s v="07/06/2024"/>
    <s v="05/07/2024"/>
    <n v="2024843"/>
    <s v="Verificar - Dados do Produto"/>
    <n v="11068.24"/>
    <n v="1.00101"/>
    <s v="Serviço"/>
    <s v="ONCOCLINICAS DO BRASIL SERVICOS MEDICOS SA"/>
    <x v="30"/>
    <d v="2024-06-12T00:00:00"/>
    <x v="0"/>
    <m/>
  </r>
  <r>
    <x v="3"/>
    <n v="787296"/>
    <x v="0"/>
    <x v="281"/>
    <s v="ROBERT HALF TRABALHO TEMPORARIO LTDA."/>
    <s v="07/06/2024"/>
    <s v="05/07/2024"/>
    <n v="2024845"/>
    <s v="Verificar - Dados do Produto"/>
    <n v="9771.58"/>
    <n v="1.00101"/>
    <s v="Serviço"/>
    <s v="ONCOCLINICAS DO BRASIL SERVICOS MEDICOS SA"/>
    <x v="30"/>
    <d v="2024-06-12T00:00:00"/>
    <x v="0"/>
    <m/>
  </r>
  <r>
    <x v="3"/>
    <n v="787295"/>
    <x v="0"/>
    <x v="282"/>
    <s v="ROBERT HALF TRABALHO TEMPORARIO LTDA."/>
    <s v="07/06/2024"/>
    <s v="05/07/2024"/>
    <n v="2024838"/>
    <s v="Verificar - Dados do Produto"/>
    <n v="66.97"/>
    <n v="1.00101"/>
    <s v="Serviço"/>
    <s v="ONCOCLINICAS DO BRASIL SERVICOS MEDICOS SA"/>
    <x v="30"/>
    <d v="2024-06-12T00:00:00"/>
    <x v="0"/>
    <m/>
  </r>
  <r>
    <x v="3"/>
    <n v="787294"/>
    <x v="0"/>
    <x v="283"/>
    <s v="ROBERT HALF TRABALHO TEMPORARIO LTDA."/>
    <s v="07/06/2024"/>
    <s v="05/07/2024"/>
    <n v="2024840"/>
    <s v="Verificar - Dados do Produto"/>
    <n v="4948.04"/>
    <n v="1.00101"/>
    <s v="Serviço"/>
    <s v="ONCOCLINICAS DO BRASIL SERVICOS MEDICOS SA"/>
    <x v="30"/>
    <d v="2024-06-12T00:00:00"/>
    <x v="0"/>
    <m/>
  </r>
  <r>
    <x v="3"/>
    <n v="787293"/>
    <x v="0"/>
    <x v="284"/>
    <s v="ROBERT HALF TRABALHO TEMPORARIO LTDA."/>
    <s v="07/06/2024"/>
    <s v="05/07/2024"/>
    <n v="2024841"/>
    <s v="Verificar - Dados do Produto"/>
    <n v="8958.7099999999991"/>
    <n v="1.00101"/>
    <s v="Serviço"/>
    <s v="ONCOCLINICAS DO BRASIL SERVICOS MEDICOS SA"/>
    <x v="30"/>
    <d v="2024-06-12T00:00:00"/>
    <x v="0"/>
    <m/>
  </r>
  <r>
    <x v="3"/>
    <n v="787291"/>
    <x v="0"/>
    <x v="285"/>
    <s v="ROBERT HALF TRABALHO TEMPORARIO LTDA."/>
    <s v="07/06/2024"/>
    <s v="05/07/2024"/>
    <n v="2024839"/>
    <s v="Verificar - Dados do Produto"/>
    <n v="387.51"/>
    <n v="1.00101"/>
    <s v="Serviço"/>
    <s v="ONCOCLINICAS DO BRASIL SERVICOS MEDICOS SA"/>
    <x v="30"/>
    <d v="2024-06-12T00:00:00"/>
    <x v="0"/>
    <m/>
  </r>
  <r>
    <x v="3"/>
    <n v="787290"/>
    <x v="0"/>
    <x v="286"/>
    <s v="ROBERT HALF TRABALHO TEMPORARIO LTDA."/>
    <s v="07/06/2024"/>
    <s v="05/07/2024"/>
    <n v="2024837"/>
    <s v="Verificar - Dados do Produto"/>
    <n v="580.29"/>
    <n v="1.00101"/>
    <s v="Serviço"/>
    <s v="ONCOCLINICAS DO BRASIL SERVICOS MEDICOS SA"/>
    <x v="30"/>
    <d v="2024-06-12T00:00:00"/>
    <x v="0"/>
    <m/>
  </r>
  <r>
    <x v="3"/>
    <n v="787288"/>
    <x v="0"/>
    <x v="287"/>
    <s v="ROBERT HALF TRABALHO TEMPORARIO LTDA."/>
    <s v="07/06/2024"/>
    <s v="05/07/2024"/>
    <n v="2024847"/>
    <s v="Verificar - Dados do Produto"/>
    <n v="11770.03"/>
    <n v="1.00101"/>
    <s v="Serviço"/>
    <s v="ONCOCLINICAS DO BRASIL SERVICOS MEDICOS SA"/>
    <x v="30"/>
    <d v="2024-06-12T00:00:00"/>
    <x v="0"/>
    <m/>
  </r>
  <r>
    <x v="3"/>
    <n v="787286"/>
    <x v="0"/>
    <x v="288"/>
    <s v="ROBERT HALF TRABALHO TEMPORARIO LTDA."/>
    <s v="07/06/2024"/>
    <s v="05/07/2024"/>
    <n v="2024842"/>
    <s v="Verificar - Dados do Produto"/>
    <n v="9164.52"/>
    <n v="1.00101"/>
    <s v="Serviço"/>
    <s v="ONCOCLINICAS DO BRASIL SERVICOS MEDICOS SA"/>
    <x v="30"/>
    <d v="2024-06-12T00:00:00"/>
    <x v="0"/>
    <m/>
  </r>
  <r>
    <x v="3"/>
    <n v="787285"/>
    <x v="0"/>
    <x v="289"/>
    <s v="ROBERT HALF TRABALHO TEMPORARIO LTDA."/>
    <s v="07/06/2024"/>
    <s v="05/07/2024"/>
    <n v="2024849"/>
    <s v="Verificar - Dados do Produto"/>
    <n v="8970.24"/>
    <n v="1.00101"/>
    <s v="Serviço"/>
    <s v="ONCOCLINICAS DO BRASIL SERVICOS MEDICOS SA"/>
    <x v="30"/>
    <d v="2024-06-12T00:00:00"/>
    <x v="0"/>
    <m/>
  </r>
  <r>
    <x v="3"/>
    <n v="787284"/>
    <x v="0"/>
    <x v="290"/>
    <s v="ROBERT HALF TRABALHO TEMPORARIO LTDA."/>
    <s v="07/06/2024"/>
    <s v="05/07/2024"/>
    <n v="2024846"/>
    <s v="Verificar - Dados do Produto"/>
    <n v="9201.2199999999993"/>
    <n v="1.00101"/>
    <s v="Serviço"/>
    <s v="ONCOCLINICAS DO BRASIL SERVICOS MEDICOS SA"/>
    <x v="30"/>
    <d v="2024-06-12T00:00:00"/>
    <x v="0"/>
    <m/>
  </r>
  <r>
    <x v="0"/>
    <n v="787191"/>
    <x v="0"/>
    <x v="291"/>
    <s v="MELHORAMENTOS CMPC LTDA"/>
    <s v="06/06/2024"/>
    <s v="11/07/2024"/>
    <n v="1885379"/>
    <s v="Analisar - Lançamento Fiscal"/>
    <n v="699.42"/>
    <n v="1.0100899999999999"/>
    <s v="Material"/>
    <s v="CENTRO PAULISTA DE ONCOLOGIA S.A."/>
    <x v="33"/>
    <d v="2024-06-12T00:00:00"/>
    <x v="0"/>
    <m/>
  </r>
  <r>
    <x v="1"/>
    <n v="787102"/>
    <x v="0"/>
    <x v="292"/>
    <s v="PANPHARMA DISTRIBUIDORA DE MEDICAMENTOS LTDA"/>
    <s v="06/06/2024"/>
    <s v="11/07/2024"/>
    <n v="544610"/>
    <s v="Analisar - Lançamento Fiscal"/>
    <n v="932.33"/>
    <n v="1.0740099999999999"/>
    <s v="Material"/>
    <s v="COMPLEXO HOSPITALAR UBERLANDIA S.A"/>
    <x v="33"/>
    <d v="2024-06-12T00:00:00"/>
    <x v="0"/>
    <m/>
  </r>
  <r>
    <x v="2"/>
    <n v="786659"/>
    <x v="0"/>
    <x v="293"/>
    <s v="KOPELL DISTRIBUICAO E LOGISTICA LTDA"/>
    <s v="06/06/2024"/>
    <s v="04/07/2024"/>
    <n v="608014"/>
    <s v="Analisar - Lançamento Fiscal"/>
    <n v="659.1"/>
    <n v="1.0620099999999999"/>
    <s v="Material"/>
    <s v="LOCUS - ANATOMIA PATOLOGICA E CITOLOGIA LTDA"/>
    <x v="37"/>
    <d v="2024-06-12T00:00:00"/>
    <x v="0"/>
    <m/>
  </r>
  <r>
    <x v="3"/>
    <n v="786557"/>
    <x v="0"/>
    <x v="294"/>
    <s v="MEGS SOLUC.PROFIS.P/LIMPEZA E PAPELARIA"/>
    <s v="06/06/2024"/>
    <s v="04/07/2024"/>
    <n v="4046"/>
    <s v="Analisar - Lançamento Fiscal"/>
    <n v="394"/>
    <n v="1.05501"/>
    <s v="Material"/>
    <s v="PRO-ONCO - CENTRO DE TRATAMENTO ONCOLOGICO S.A."/>
    <x v="37"/>
    <d v="2024-06-12T00:00:00"/>
    <x v="0"/>
    <m/>
  </r>
  <r>
    <x v="0"/>
    <n v="786422"/>
    <x v="0"/>
    <x v="295"/>
    <s v="GMB COMERCIO E SERVICOS LTDA"/>
    <s v="06/06/2024"/>
    <s v="06/07/2024"/>
    <n v="19727"/>
    <s v="Verificar - Dados do Produto"/>
    <n v="817"/>
    <n v="1.0480100000000001"/>
    <s v="Material"/>
    <s v="CENTRO DE TRATAMENTO DE TUMORES BOTAFOGO S.A. "/>
    <x v="30"/>
    <d v="2024-06-12T00:00:00"/>
    <x v="0"/>
    <m/>
  </r>
  <r>
    <x v="1"/>
    <n v="786390"/>
    <x v="0"/>
    <x v="296"/>
    <s v="BHZ VENDAS DE CAFE E INSUMOS LTDA_x0009_"/>
    <s v="06/06/2024"/>
    <s v="08/07/2024"/>
    <n v="1791"/>
    <s v="Verificar - Dados do Produto"/>
    <n v="19451"/>
    <n v="1.02701"/>
    <s v="Material"/>
    <s v="HEMATOLOGICA - CLINICA DE HEMATOLOGIA S/A "/>
    <x v="34"/>
    <d v="2024-06-12T00:00:00"/>
    <x v="0"/>
    <m/>
  </r>
  <r>
    <x v="0"/>
    <n v="786370"/>
    <x v="0"/>
    <x v="297"/>
    <s v="FAMAP NUTRICAO PARENTERAL LTDA"/>
    <s v="06/06/2024"/>
    <s v="04/07/2024"/>
    <n v="415118"/>
    <s v="Verificar - Dados do Produto"/>
    <n v="978.53"/>
    <n v="1.02901"/>
    <s v="Material"/>
    <s v="ONCOBIO SERVICOS DE SAUDE AS"/>
    <x v="37"/>
    <d v="2024-06-12T00:00:00"/>
    <x v="0"/>
    <m/>
  </r>
  <r>
    <x v="0"/>
    <n v="786368"/>
    <x v="0"/>
    <x v="298"/>
    <s v="FAMAP NUTRICAO PARENTERAL LTDA"/>
    <s v="06/06/2024"/>
    <s v="04/07/2024"/>
    <n v="415142"/>
    <s v="Analisar - Lançamento Fiscal"/>
    <n v="556.11"/>
    <n v="1.02901"/>
    <s v="Material"/>
    <s v="ONCOBIO SERVICOS DE SAUDE AS"/>
    <x v="37"/>
    <d v="2024-06-12T00:00:00"/>
    <x v="0"/>
    <m/>
  </r>
  <r>
    <x v="2"/>
    <n v="786163"/>
    <x v="0"/>
    <x v="299"/>
    <s v="BTN INFORMACAO DO TRANSITO E SERVICOS AEREOS ESPECIALIZADOS LTDA."/>
    <s v="05/06/2024"/>
    <s v="31/07/2024"/>
    <n v="1478"/>
    <s v="Analisar - Lançamento Fiscal"/>
    <n v="4818.96"/>
    <n v="1.03101"/>
    <s v="Serviço"/>
    <s v="INSTITUTO HEMATOLOGIA E ONCOLOGIA CURITIBA - CLINICA MEDICA S.A"/>
    <x v="40"/>
    <d v="2024-06-12T00:00:00"/>
    <x v="0"/>
    <m/>
  </r>
  <r>
    <x v="3"/>
    <n v="786152"/>
    <x v="0"/>
    <x v="300"/>
    <s v="VISUPLAC PROJETOS E MIDIAS URBANAS LTDA"/>
    <s v="06/06/2024"/>
    <s v="06/07/2024"/>
    <n v="2215"/>
    <s v="Analisar - Lançamento Fiscal"/>
    <n v="450"/>
    <n v="1.0860099999999999"/>
    <s v="Serviço"/>
    <s v="AIO- INSTITUTO DE CANCÊR"/>
    <x v="30"/>
    <d v="2024-06-12T00:00:00"/>
    <x v="0"/>
    <m/>
  </r>
  <r>
    <x v="3"/>
    <n v="786138"/>
    <x v="0"/>
    <x v="301"/>
    <s v="VISUPLAC PROJETOS E MIDIAS URBANAS LTDA"/>
    <s v="06/06/2024"/>
    <s v="06/07/2024"/>
    <n v="2216"/>
    <s v="Analisar - Lançamento Fiscal"/>
    <n v="450"/>
    <n v="1.0860099999999999"/>
    <s v="Serviço"/>
    <s v="AIO- INSTITUTO DE CANCÊR"/>
    <x v="30"/>
    <d v="2024-06-12T00:00:00"/>
    <x v="0"/>
    <m/>
  </r>
  <r>
    <x v="1"/>
    <n v="786122"/>
    <x v="0"/>
    <x v="302"/>
    <s v="FORCEONE NEGOCIOS &amp; CONSULTORIA LTDA"/>
    <s v="06/06/2024"/>
    <s v="21/07/2024"/>
    <n v="2024207"/>
    <s v="Verificar - Dados do Produto"/>
    <n v="9066.67"/>
    <n v="1.0010399999999999"/>
    <s v="Serviço"/>
    <s v="ONCOCLINICAS DO BRASIL SERVICOS MEDICOS SA"/>
    <x v="38"/>
    <d v="2024-06-12T00:00:00"/>
    <x v="0"/>
    <m/>
  </r>
  <r>
    <x v="0"/>
    <n v="786120"/>
    <x v="0"/>
    <x v="303"/>
    <s v="AKTO TECNOLOGIA EIREILI EPP"/>
    <s v="05/06/2024"/>
    <s v="05/07/2024"/>
    <n v="6390"/>
    <s v="Verificar - Dados do Produto"/>
    <n v="5200"/>
    <n v="1.09301"/>
    <s v="Serviço"/>
    <s v="SERVICO DE ATENDIMENTO MEDICO E DIAGNOSTICO LTDA"/>
    <x v="30"/>
    <d v="2024-06-12T00:00:00"/>
    <x v="0"/>
    <m/>
  </r>
  <r>
    <x v="1"/>
    <n v="786082"/>
    <x v="0"/>
    <x v="304"/>
    <s v="MEZZOW DESENCOLVIMENTO DE SISTEMA LTDA-ME"/>
    <s v="06/06/2024"/>
    <s v="06/07/2024"/>
    <n v="541"/>
    <s v="Verificar - Dados do Produto"/>
    <n v="6770.98"/>
    <n v="1.07602"/>
    <s v="Serviço"/>
    <s v="CAM - CLINICA DE ASSISTENCIA A MULHER LTDA"/>
    <x v="30"/>
    <d v="2024-06-12T00:00:00"/>
    <x v="0"/>
    <m/>
  </r>
  <r>
    <x v="2"/>
    <n v="786073"/>
    <x v="0"/>
    <x v="305"/>
    <s v="RP MATERIAIS ELETRICOS LTDA_x0009_"/>
    <s v="06/06/2024"/>
    <s v="08/07/2024"/>
    <n v="80631"/>
    <s v="Analisar - Lançamento Fiscal"/>
    <n v="707.93"/>
    <n v="1.01501"/>
    <s v="Material"/>
    <s v="NUCLEO DE ONCOLOGIA DA BAHIA S.A "/>
    <x v="34"/>
    <d v="2024-06-12T00:00:00"/>
    <x v="0"/>
    <m/>
  </r>
  <r>
    <x v="2"/>
    <n v="786067"/>
    <x v="0"/>
    <x v="306"/>
    <s v="RP MATERIAIS ELETRICOS LTDA_x0009_"/>
    <s v="06/06/2024"/>
    <s v="08/07/2024"/>
    <n v="80636"/>
    <s v="Analisar - Lançamento Fiscal"/>
    <n v="1998.59"/>
    <n v="1.01501"/>
    <s v="Material"/>
    <s v="NUCLEO DE ONCOLOGIA DA BAHIA S.A "/>
    <x v="34"/>
    <d v="2024-06-12T00:00:00"/>
    <x v="0"/>
    <m/>
  </r>
  <r>
    <x v="3"/>
    <n v="786051"/>
    <x v="0"/>
    <x v="307"/>
    <s v="EPIMED SOLUTIONS TECNOLOGIA DE INFORMACOES MEDICAS LTDA"/>
    <s v="03/06/2024"/>
    <s v="05/07/2024"/>
    <n v="31461"/>
    <s v="Analisar - Lançamento Fiscal"/>
    <n v="650"/>
    <n v="1.05501"/>
    <s v="Serviço"/>
    <s v="PRO-ONCO - CENTRO DE TRATAMENTO ONCOLOGICO S.A."/>
    <x v="30"/>
    <d v="2024-06-12T00:00:00"/>
    <x v="0"/>
    <m/>
  </r>
  <r>
    <x v="3"/>
    <n v="786050"/>
    <x v="0"/>
    <x v="308"/>
    <s v="EPIMED SOLUTIONS TECNOLOGIA DE INFORMACOES MEDICAS LTDA"/>
    <s v="03/06/2024"/>
    <s v="05/07/2024"/>
    <n v="31448"/>
    <s v="Analisar - Lançamento Fiscal"/>
    <n v="650"/>
    <n v="1.0340100000000001"/>
    <s v="Serviço"/>
    <s v="RADIOTERAPIA ONCOCLINICAS RECIFE LTDA"/>
    <x v="30"/>
    <d v="2024-06-12T00:00:00"/>
    <x v="0"/>
    <m/>
  </r>
  <r>
    <x v="0"/>
    <n v="786037"/>
    <x v="0"/>
    <x v="309"/>
    <s v="DE PAULA GRAFICA DIGITAL LTDA ME"/>
    <s v="06/06/2024"/>
    <s v="06/07/2024"/>
    <n v="1578"/>
    <s v="Analisar - Lançamento Fiscal"/>
    <n v="777.96"/>
    <n v="1.0900099999999999"/>
    <s v="Material"/>
    <s v="CETTRO - CENTRO DE TRATAMENTO ONCOLOGICO LTDA"/>
    <x v="30"/>
    <d v="2024-06-12T00:00:00"/>
    <x v="0"/>
    <m/>
  </r>
  <r>
    <x v="0"/>
    <n v="786032"/>
    <x v="0"/>
    <x v="310"/>
    <s v="DE PAULA GRAFICA DIGITAL LTDA ME"/>
    <s v="06/06/2024"/>
    <s v="06/07/2024"/>
    <n v="1577"/>
    <s v="Analisar - Lançamento Fiscal"/>
    <n v="777.96"/>
    <n v="1.04101"/>
    <s v="Material"/>
    <s v="ONCO VIDA INSTITUTO ESPECIALIZADO DE ONCOLOGIA S.A"/>
    <x v="30"/>
    <d v="2024-06-12T00:00:00"/>
    <x v="0"/>
    <m/>
  </r>
  <r>
    <x v="0"/>
    <n v="786030"/>
    <x v="0"/>
    <x v="311"/>
    <s v="DE PAULA GRAFICA DIGITAL LTDA ME"/>
    <s v="06/06/2024"/>
    <s v="06/07/2024"/>
    <n v="1576"/>
    <s v="Analisar - Lançamento Fiscal"/>
    <n v="777.96"/>
    <n v="1.04901"/>
    <s v="Material"/>
    <s v="ALIANCA INSTITUTO DE ONCOLOGIA S.A. "/>
    <x v="30"/>
    <d v="2024-06-12T00:00:00"/>
    <x v="0"/>
    <m/>
  </r>
  <r>
    <x v="1"/>
    <n v="786027"/>
    <x v="0"/>
    <x v="312"/>
    <s v="BIOLOGISTICA SOLUCOES EM LOGISTICA E SERVICOS EIRELI"/>
    <s v="06/06/2024"/>
    <s v="08/07/2024"/>
    <n v="107980"/>
    <s v="Verificar - Dados do Produto"/>
    <n v="661.9"/>
    <n v="1.05402"/>
    <s v="Serviço"/>
    <s v="NUCLEO DE HEMATOLOGIA E TRANSPLANTE DE MEDULA OSSEA DE MINAS GERAIS LTDA."/>
    <x v="34"/>
    <d v="2024-06-12T00:00:00"/>
    <x v="0"/>
    <m/>
  </r>
  <r>
    <x v="2"/>
    <n v="786020"/>
    <x v="0"/>
    <x v="313"/>
    <s v="ATIVAS DATA CENTER S.A."/>
    <s v="06/06/2024"/>
    <s v="05/07/2024"/>
    <n v="20241544"/>
    <s v="Verificar - Dados do Produto"/>
    <n v="45445.04"/>
    <n v="1.00101"/>
    <s v="Serviço"/>
    <s v="ONCOCLINICAS DO BRASIL SERVICOS MEDICOS SA"/>
    <x v="30"/>
    <d v="2024-06-12T00:00:00"/>
    <x v="0"/>
    <m/>
  </r>
  <r>
    <x v="2"/>
    <n v="786018"/>
    <x v="0"/>
    <x v="314"/>
    <s v="ATIVAS DATA CENTER S.A."/>
    <s v="06/06/2024"/>
    <s v="05/07/2024"/>
    <n v="20241545"/>
    <s v="Verificar - Dados do Produto"/>
    <n v="10608.75"/>
    <n v="1.00101"/>
    <s v="Serviço"/>
    <s v="ONCOCLINICAS DO BRASIL SERVICOS MEDICOS SA"/>
    <x v="30"/>
    <d v="2024-06-12T00:00:00"/>
    <x v="0"/>
    <m/>
  </r>
  <r>
    <x v="2"/>
    <n v="786015"/>
    <x v="0"/>
    <x v="315"/>
    <s v="ATIVAS DATA CENTER S.A."/>
    <s v="06/06/2024"/>
    <s v="05/07/2024"/>
    <n v="20241543"/>
    <s v="Verificar - Dados do Produto"/>
    <n v="424.8"/>
    <n v="1.00101"/>
    <s v="Serviço"/>
    <s v="ONCOCLINICAS DO BRASIL SERVICOS MEDICOS SA"/>
    <x v="30"/>
    <d v="2024-06-12T00:00:00"/>
    <x v="0"/>
    <m/>
  </r>
  <r>
    <x v="2"/>
    <n v="786014"/>
    <x v="0"/>
    <x v="316"/>
    <s v="ATIVAS DATA CENTER S.A."/>
    <s v="06/06/2024"/>
    <s v="05/07/2024"/>
    <n v="20241542"/>
    <s v="Verificar - Dados do Produto"/>
    <n v="25982.34"/>
    <n v="1.00101"/>
    <s v="Serviço"/>
    <s v="ONCOCLINICAS DO BRASIL SERVICOS MEDICOS SA"/>
    <x v="30"/>
    <d v="2024-06-12T00:00:00"/>
    <x v="0"/>
    <m/>
  </r>
  <r>
    <x v="2"/>
    <n v="786013"/>
    <x v="0"/>
    <x v="317"/>
    <s v="ATIVAS DATA CENTER S.A."/>
    <s v="06/06/2024"/>
    <s v="05/07/2024"/>
    <n v="20241541"/>
    <s v="Verificar - Dados do Produto"/>
    <n v="5798.27"/>
    <n v="1.00101"/>
    <s v="Serviço"/>
    <s v="ONCOCLINICAS DO BRASIL SERVICOS MEDICOS SA"/>
    <x v="30"/>
    <d v="2024-06-12T00:00:00"/>
    <x v="0"/>
    <m/>
  </r>
  <r>
    <x v="2"/>
    <n v="786012"/>
    <x v="0"/>
    <x v="318"/>
    <s v="ATIVAS DATA CENTER S.A."/>
    <s v="06/06/2024"/>
    <s v="05/07/2024"/>
    <n v="20241540"/>
    <s v="Verificar - Dados do Produto"/>
    <n v="1415.07"/>
    <n v="1.00101"/>
    <s v="Serviço"/>
    <s v="ONCOCLINICAS DO BRASIL SERVICOS MEDICOS SA"/>
    <x v="30"/>
    <d v="2024-06-12T00:00:00"/>
    <x v="0"/>
    <m/>
  </r>
  <r>
    <x v="3"/>
    <n v="786001"/>
    <x v="0"/>
    <x v="319"/>
    <s v="PC HELP INFORMATICA LTDA"/>
    <s v="06/06/2024"/>
    <s v="25/06/2024"/>
    <n v="4835"/>
    <s v="Verificar - Dados do Produto"/>
    <n v="1910"/>
    <n v="1.0920099999999999"/>
    <s v="Serviço"/>
    <s v="ONCO &amp; HEMATO SERVICOS MEDICOS S.A."/>
    <x v="24"/>
    <d v="2024-06-12T00:00:00"/>
    <x v="0"/>
    <m/>
  </r>
  <r>
    <x v="3"/>
    <n v="785999"/>
    <x v="0"/>
    <x v="320"/>
    <s v="PC HELP INFORMATICA LTDA"/>
    <s v="06/06/2024"/>
    <s v="25/06/2024"/>
    <n v="4836"/>
    <s v="Verificar - Dados do Produto"/>
    <n v="1910"/>
    <n v="1.09202"/>
    <s v="Serviço"/>
    <s v="ONCO &amp; HEMATO SERVICOS MEDICOS S.A."/>
    <x v="24"/>
    <d v="2024-06-12T00:00:00"/>
    <x v="0"/>
    <m/>
  </r>
  <r>
    <x v="3"/>
    <n v="785998"/>
    <x v="0"/>
    <x v="321"/>
    <s v="PC HELP INFORMATICA LTDA"/>
    <s v="06/06/2024"/>
    <s v="25/06/2024"/>
    <n v="4837"/>
    <s v="Verificar - Dados do Produto"/>
    <n v="1850"/>
    <n v="1.0920300000000001"/>
    <s v="Serviço"/>
    <s v="ONCO &amp; HEMATO SERVICOS MEDICOS S.A."/>
    <x v="24"/>
    <d v="2024-06-12T00:00:00"/>
    <x v="0"/>
    <m/>
  </r>
  <r>
    <x v="0"/>
    <n v="785990"/>
    <x v="0"/>
    <x v="322"/>
    <s v="WILLIAN AMARAL PARADELLA 18222333720"/>
    <s v="06/06/2024"/>
    <s v="04/07/2024"/>
    <n v="3166"/>
    <s v="Analisar - Lançamento Fiscal"/>
    <n v="1590"/>
    <n v="1.0480100000000001"/>
    <s v="Serviço"/>
    <s v="CENTRO DE TRATAMENTO DE TUMORES BOTAFOGO S.A. "/>
    <x v="37"/>
    <d v="2024-06-12T00:00:00"/>
    <x v="0"/>
    <m/>
  </r>
  <r>
    <x v="1"/>
    <n v="785973"/>
    <x v="0"/>
    <x v="323"/>
    <s v="AVN ATITUDE VALORES E NEGOCIOS EM TI LTDA"/>
    <s v="06/06/2024"/>
    <s v="05/07/2024"/>
    <n v="47"/>
    <s v="Verificar - Dados do Produto"/>
    <n v="28224"/>
    <n v="1.0010399999999999"/>
    <s v="Serviço"/>
    <s v="ONCOCLINICAS DO BRASIL SERVICOS MEDICOS SA"/>
    <x v="30"/>
    <d v="2024-06-12T00:00:00"/>
    <x v="0"/>
    <m/>
  </r>
  <r>
    <x v="3"/>
    <n v="785930"/>
    <x v="0"/>
    <x v="324"/>
    <s v="EPIMED SOLUTIONS TECNOLOGIA DE INFORMACOES MEDICAS LTDA"/>
    <s v="03/06/2024"/>
    <s v="05/07/2024"/>
    <n v="31348"/>
    <s v="Analisar - Lançamento Fiscal"/>
    <n v="650"/>
    <n v="1.0580099999999999"/>
    <s v="Serviço"/>
    <s v="ANGARA ONCOLOGIA E PARTICIPACOES S.A."/>
    <x v="30"/>
    <d v="2024-06-12T00:00:00"/>
    <x v="0"/>
    <m/>
  </r>
  <r>
    <x v="3"/>
    <n v="785913"/>
    <x v="0"/>
    <x v="325"/>
    <s v="EPIMED SOLUTIONS TECNOLOGIA DE INFORMACOES MEDICAS LTDA"/>
    <s v="03/06/2024"/>
    <s v="05/07/2024"/>
    <n v="31345"/>
    <s v="Analisar - Lançamento Fiscal"/>
    <n v="650"/>
    <n v="1.08605"/>
    <s v="Serviço"/>
    <s v="AIO- INSTITUTO DE CANCÊR"/>
    <x v="30"/>
    <d v="2024-06-12T00:00:00"/>
    <x v="0"/>
    <m/>
  </r>
  <r>
    <x v="3"/>
    <n v="785911"/>
    <x v="0"/>
    <x v="326"/>
    <s v="EPIMED SOLUTIONS TECNOLOGIA DE INFORMACOES MEDICAS LTDA"/>
    <s v="03/06/2024"/>
    <s v="05/07/2024"/>
    <n v="31344"/>
    <s v="Analisar - Lançamento Fiscal"/>
    <n v="650"/>
    <n v="1.0860099999999999"/>
    <s v="Serviço"/>
    <s v="AIO- INSTITUTO DE CANCÊR"/>
    <x v="30"/>
    <d v="2024-06-12T00:00:00"/>
    <x v="0"/>
    <m/>
  </r>
  <r>
    <x v="2"/>
    <n v="785905"/>
    <x v="0"/>
    <x v="327"/>
    <s v="PAUTA 6 COMUNICACAO LTDA"/>
    <s v="06/06/2024"/>
    <s v="05/07/2024"/>
    <n v="6530"/>
    <s v="Aguardando Classificação da Nota"/>
    <n v="825"/>
    <n v="1.1000099999999999"/>
    <s v="Serviço"/>
    <s v="IRV - MATRIZ"/>
    <x v="30"/>
    <d v="2024-06-12T00:00:00"/>
    <x v="0"/>
    <m/>
  </r>
  <r>
    <x v="3"/>
    <n v="785904"/>
    <x v="0"/>
    <x v="328"/>
    <s v="EPIMED SOLUTIONS TECNOLOGIA DE INFORMACOES MEDICAS LTDA"/>
    <s v="03/06/2024"/>
    <s v="05/07/2024"/>
    <n v="31341"/>
    <s v="Analisar - Lançamento Fiscal"/>
    <n v="650"/>
    <n v="1.04101"/>
    <s v="Serviço"/>
    <s v="ONCO VIDA INSTITUTO ESPECIALIZADO DE ONCOLOGIA S.A"/>
    <x v="30"/>
    <d v="2024-06-12T00:00:00"/>
    <x v="0"/>
    <m/>
  </r>
  <r>
    <x v="3"/>
    <n v="785902"/>
    <x v="0"/>
    <x v="329"/>
    <s v="BRUMAS COMERCIO E CONFECCOES EIRELI_x0009_"/>
    <s v="06/06/2024"/>
    <s v="06/07/2024"/>
    <n v="6013"/>
    <s v="Analisar - Lançamento Fiscal"/>
    <n v="4032"/>
    <n v="1.0010399999999999"/>
    <s v="Material"/>
    <s v="ONCOCLINICAS DO BRASIL SERVICOS MEDICOS SA"/>
    <x v="30"/>
    <d v="2024-06-12T00:00:00"/>
    <x v="0"/>
    <m/>
  </r>
  <r>
    <x v="2"/>
    <n v="785901"/>
    <x v="0"/>
    <x v="330"/>
    <s v="PAUTA 6 COMUNICACAO LTDA"/>
    <s v="06/06/2024"/>
    <s v="05/07/2024"/>
    <n v="6529"/>
    <s v="Analisar - Lançamento Fiscal"/>
    <n v="1100"/>
    <n v="1.0220100000000001"/>
    <s v="Serviço"/>
    <s v="CECON - CENTRO CAPIXABA DE ONCOLOGIA S.A"/>
    <x v="30"/>
    <d v="2024-06-12T00:00:00"/>
    <x v="0"/>
    <m/>
  </r>
  <r>
    <x v="3"/>
    <n v="785900"/>
    <x v="0"/>
    <x v="331"/>
    <s v="EPIMED SOLUTIONS TECNOLOGIA DE INFORMACOES MEDICAS LTDA"/>
    <s v="03/06/2024"/>
    <s v="05/07/2024"/>
    <n v="31340"/>
    <s v="Analisar - Lançamento Fiscal"/>
    <n v="650"/>
    <n v="1.04101"/>
    <s v="Serviço"/>
    <s v="ONCO VIDA INSTITUTO ESPECIALIZADO DE ONCOLOGIA S.A"/>
    <x v="30"/>
    <d v="2024-06-12T00:00:00"/>
    <x v="0"/>
    <m/>
  </r>
  <r>
    <x v="0"/>
    <n v="785842"/>
    <x v="0"/>
    <x v="332"/>
    <s v="BRAINLAB LTDA"/>
    <s v="05/06/2024"/>
    <s v="04/07/2024"/>
    <n v="10830"/>
    <s v="Verificar - Dados do Produto"/>
    <n v="6178.73"/>
    <n v="1.0010399999999999"/>
    <s v="Serviço"/>
    <s v="ONCOCLINICAS DO BRASIL SERVICOS MEDICOS SA"/>
    <x v="37"/>
    <d v="2024-06-12T00:00:00"/>
    <x v="0"/>
    <m/>
  </r>
  <r>
    <x v="0"/>
    <n v="785841"/>
    <x v="0"/>
    <x v="333"/>
    <s v="BRAINLAB LTDA"/>
    <s v="05/06/2024"/>
    <s v="04/07/2024"/>
    <n v="10829"/>
    <s v="Verificar - Dados do Produto"/>
    <n v="5014.18"/>
    <n v="1.0010399999999999"/>
    <s v="Serviço"/>
    <s v="ONCOCLINICAS DO BRASIL SERVICOS MEDICOS SA"/>
    <x v="37"/>
    <d v="2024-06-12T00:00:00"/>
    <x v="0"/>
    <m/>
  </r>
  <r>
    <x v="0"/>
    <n v="785762"/>
    <x v="0"/>
    <x v="334"/>
    <s v="GMB COMERCIO E SERVICOS LTDA"/>
    <s v="05/06/2024"/>
    <s v="05/07/2024"/>
    <n v="19705"/>
    <s v="Verificar - Dados do Produto"/>
    <n v="140"/>
    <n v="1.0010699999999999"/>
    <s v="Material"/>
    <s v="ONCOCLINICAS DO BRASIL SERVICOS MEDICOS S.A. - CTO IPANEMA"/>
    <x v="30"/>
    <d v="2024-06-12T00:00:00"/>
    <x v="0"/>
    <m/>
  </r>
  <r>
    <x v="1"/>
    <n v="785699"/>
    <x v="0"/>
    <x v="335"/>
    <s v="CIRURGICA FERNANDES - COMERCIO DE MATERIAIS CIRURGICOS E HOSPITALARES - SOCIEDADE LIMITADA"/>
    <s v="05/06/2024"/>
    <s v="05/07/2024"/>
    <n v="1731745"/>
    <s v="Analisar - Lançamento Fiscal"/>
    <n v="506.25"/>
    <n v="1.0740099999999999"/>
    <s v="Material"/>
    <s v="COMPLEXO HOSPITALAR UBERLANDIA S.A"/>
    <x v="30"/>
    <d v="2024-06-12T00:00:00"/>
    <x v="0"/>
    <m/>
  </r>
  <r>
    <x v="2"/>
    <n v="785682"/>
    <x v="0"/>
    <x v="336"/>
    <s v="ACRIL BRAZ SERVICOS ESPECIALIZADOS INDUSTRIA E COMERCIO LTDA"/>
    <s v="05/06/2024"/>
    <s v="05/07/2024"/>
    <n v="8459"/>
    <s v="Analisar - Lançamento Fiscal"/>
    <n v="645"/>
    <n v="1.0740099999999999"/>
    <s v="Material"/>
    <s v="COMPLEXO HOSPITALAR UBERLANDIA S.A"/>
    <x v="30"/>
    <d v="2024-06-12T00:00:00"/>
    <x v="0"/>
    <m/>
  </r>
  <r>
    <x v="3"/>
    <n v="785673"/>
    <x v="0"/>
    <x v="337"/>
    <s v="SOUZA &amp; RIBEIRO COMERCIO DE EMBALAGENS LTDA_x0009_"/>
    <s v="05/06/2024"/>
    <s v="05/07/2024"/>
    <n v="10349"/>
    <s v="Verificar - Dados do Produto"/>
    <n v="22742.7"/>
    <n v="1.0740099999999999"/>
    <s v="Material"/>
    <s v="COMPLEXO HOSPITALAR UBERLANDIA S.A"/>
    <x v="30"/>
    <d v="2024-06-12T00:00:00"/>
    <x v="0"/>
    <m/>
  </r>
  <r>
    <x v="0"/>
    <n v="785255"/>
    <x v="0"/>
    <x v="338"/>
    <s v="FAMAP NUTRICAO PARENTERAL LTDA"/>
    <s v="05/06/2024"/>
    <s v="03/07/2024"/>
    <n v="415045"/>
    <s v="Analisar - Erro - Criação de Medição"/>
    <n v="978.53"/>
    <n v="1.02901"/>
    <s v="Material"/>
    <s v="ONCOBIO SERVICOS DE SAUDE AS"/>
    <x v="32"/>
    <d v="2024-06-12T00:00:00"/>
    <x v="0"/>
    <m/>
  </r>
  <r>
    <x v="1"/>
    <n v="784783"/>
    <x v="0"/>
    <x v="339"/>
    <s v="SUPRICORP SUPRIMENTOS LTDA"/>
    <s v="05/06/2024"/>
    <s v="02/07/2024"/>
    <n v="6930970"/>
    <s v="Analisar - Lançamento Fiscal"/>
    <n v="4811.7"/>
    <n v="1.0100100000000001"/>
    <s v="Material"/>
    <s v="CENTRO PAULISTA DE ONCOLOGIA S.A. "/>
    <x v="23"/>
    <d v="2024-06-12T00:00:00"/>
    <x v="0"/>
    <m/>
  </r>
  <r>
    <x v="1"/>
    <n v="784691"/>
    <x v="0"/>
    <x v="340"/>
    <s v="VARIAN MEDICAL SYSTEMS BRASIL LTDA."/>
    <s v="05/06/2024"/>
    <s v="04/07/2024"/>
    <n v="5244"/>
    <s v="Verificar - Dados do Produto"/>
    <n v="33947.11"/>
    <n v="1.1020099999999999"/>
    <s v="Serviço"/>
    <s v="ONCO CARE PRUDENTE"/>
    <x v="37"/>
    <d v="2024-06-12T00:00:00"/>
    <x v="0"/>
    <m/>
  </r>
  <r>
    <x v="0"/>
    <n v="784663"/>
    <x v="0"/>
    <x v="341"/>
    <s v="INSTALE TELEINFORMATICA LTDA - EPP"/>
    <s v="05/06/2024"/>
    <s v="15/07/2024"/>
    <n v="13033"/>
    <s v="Verificar - Dados do Produto"/>
    <n v="704.45"/>
    <n v="1.01502"/>
    <s v="Serviço"/>
    <s v="NUCLEO DE ONCOLOGIA DA BAHIA S.A "/>
    <x v="35"/>
    <d v="2024-06-12T00:00:00"/>
    <x v="0"/>
    <m/>
  </r>
  <r>
    <x v="1"/>
    <n v="784657"/>
    <x v="0"/>
    <x v="342"/>
    <s v="PI TECNOLOGIA DA INFORMACAO LTDA"/>
    <s v="05/06/2024"/>
    <s v="05/08/2024"/>
    <n v="7508"/>
    <s v="Analisar - Lançamento Fiscal"/>
    <n v="1218.4100000000001"/>
    <n v="1.01501"/>
    <s v="Serviço"/>
    <s v="NUCLEO DE ONCOLOGIA DA BAHIA S.A "/>
    <x v="41"/>
    <d v="2024-06-12T00:00:00"/>
    <x v="0"/>
    <m/>
  </r>
  <r>
    <x v="0"/>
    <n v="784596"/>
    <x v="0"/>
    <x v="343"/>
    <s v="CAFEINA COMUNICACAO E MARKETING LTDA"/>
    <s v="05/06/2024"/>
    <s v="10/07/2024"/>
    <n v="1924"/>
    <s v="Analisar - Lançamento Fiscal"/>
    <n v="250"/>
    <n v="1.04901"/>
    <s v="Serviço"/>
    <s v="ALIANCA INSTITUTO DE ONCOLOGIA S.A. "/>
    <x v="28"/>
    <d v="2024-06-12T00:00:00"/>
    <x v="0"/>
    <m/>
  </r>
  <r>
    <x v="0"/>
    <n v="784595"/>
    <x v="0"/>
    <x v="344"/>
    <s v="CAFEINA COMUNICACAO E MARKETING LTDA"/>
    <s v="05/06/2024"/>
    <s v="10/07/2024"/>
    <n v="1923"/>
    <s v="Analisar - Lançamento Fiscal"/>
    <n v="550"/>
    <n v="1.04901"/>
    <s v="Serviço"/>
    <s v="ALIANCA INSTITUTO DE ONCOLOGIA S.A. "/>
    <x v="28"/>
    <d v="2024-06-12T00:00:00"/>
    <x v="0"/>
    <m/>
  </r>
  <r>
    <x v="2"/>
    <n v="784492"/>
    <x v="0"/>
    <x v="345"/>
    <s v="Soma Midia Exterior e Construcao Ltda"/>
    <s v="05/06/2024"/>
    <s v="10/07/2024"/>
    <n v="133"/>
    <s v="Analisar - Lançamento Fiscal"/>
    <n v="1000"/>
    <n v="1.04901"/>
    <s v="Serviço"/>
    <s v="ALIANCA INSTITUTO DE ONCOLOGIA S.A. "/>
    <x v="28"/>
    <d v="2024-06-12T00:00:00"/>
    <x v="0"/>
    <m/>
  </r>
  <r>
    <x v="2"/>
    <n v="784488"/>
    <x v="0"/>
    <x v="346"/>
    <s v="Soma Midia Exterior e Construcao Ltda"/>
    <s v="05/06/2024"/>
    <s v="10/07/2024"/>
    <n v="132"/>
    <s v="Analisar - Lançamento Fiscal"/>
    <n v="2200"/>
    <n v="1.04901"/>
    <s v="Serviço"/>
    <s v="ALIANCA INSTITUTO DE ONCOLOGIA S.A. "/>
    <x v="28"/>
    <d v="2024-06-12T00:00:00"/>
    <x v="0"/>
    <m/>
  </r>
  <r>
    <x v="3"/>
    <n v="784473"/>
    <x v="0"/>
    <x v="347"/>
    <s v="BIOXXI SERVICOS DE ESTERILIZACAO LTDA"/>
    <s v="04/06/2024"/>
    <s v="04/07/2024"/>
    <n v="105619"/>
    <s v="Verificar - Dados do Produto"/>
    <n v="87897.7"/>
    <n v="1.07301"/>
    <s v="Serviço"/>
    <s v="HOSPITAL DE ONCOLOGIA DO MEIER"/>
    <x v="37"/>
    <d v="2024-06-12T00:00:00"/>
    <x v="0"/>
    <m/>
  </r>
  <r>
    <x v="0"/>
    <n v="784431"/>
    <x v="0"/>
    <x v="348"/>
    <s v="VISUAL SISTEMAS ELETRONICOS LTDA"/>
    <s v="03/06/2024"/>
    <s v="18/07/2024"/>
    <n v="20241479"/>
    <s v="Analisar - Lançamento Fiscal"/>
    <n v="2792"/>
    <n v="1.0540099999999999"/>
    <s v="Serviço"/>
    <s v="NUCLEO DE HEMATOLOGIA E TRANSPLANTE DE MEDULA OSSEA DE MINAS GERAIS LTDA."/>
    <x v="42"/>
    <d v="2024-06-12T00:00:00"/>
    <x v="0"/>
    <m/>
  </r>
  <r>
    <x v="1"/>
    <n v="784380"/>
    <x v="0"/>
    <x v="349"/>
    <s v="LABORPRINT GRAFICA E EDITORA LTDA                                                                   "/>
    <s v="04/06/2024"/>
    <s v="04/07/2024"/>
    <n v="50852"/>
    <s v="Analisar - Lançamento Fiscal"/>
    <n v="4304"/>
    <n v="1.0010399999999999"/>
    <s v="Serviço"/>
    <s v="ONCOCLINICAS DO BRASIL SERVICOS MEDICOS SA"/>
    <x v="37"/>
    <d v="2024-06-12T00:00:00"/>
    <x v="0"/>
    <m/>
  </r>
  <r>
    <x v="2"/>
    <n v="784136"/>
    <x v="0"/>
    <x v="350"/>
    <s v="HAMORIM MAQ.CAFE EXPRESSO LTDA"/>
    <s v="04/06/2024"/>
    <s v="04/07/2024"/>
    <n v="68941"/>
    <s v="Analisar - Lançamento Fiscal"/>
    <n v="2758.5"/>
    <n v="1.09101"/>
    <s v="Material"/>
    <s v="INSTITUTO DE ONCOLOGIA KAPLAN"/>
    <x v="37"/>
    <d v="2024-06-12T00:00:00"/>
    <x v="0"/>
    <m/>
  </r>
  <r>
    <x v="0"/>
    <n v="783409"/>
    <x v="0"/>
    <x v="351"/>
    <s v="FAMAP NUTRICAO PARENTERAL LTDA"/>
    <s v="04/06/2024"/>
    <s v="02/07/2024"/>
    <n v="414914"/>
    <s v="Analisar - Erro - Criação de Medição"/>
    <n v="765.9"/>
    <n v="1.02901"/>
    <s v="Material"/>
    <s v="ONCOBIO SERVICOS DE SAUDE AS"/>
    <x v="23"/>
    <d v="2024-06-12T00:00:00"/>
    <x v="0"/>
    <m/>
  </r>
  <r>
    <x v="3"/>
    <n v="783300"/>
    <x v="0"/>
    <x v="352"/>
    <s v="NESTLE BRASIL LTDA."/>
    <s v="04/06/2024"/>
    <s v="04/07/2024"/>
    <n v="4515569"/>
    <s v="Analisar - Lançamento Fiscal"/>
    <n v="1000"/>
    <n v="1.0010399999999999"/>
    <s v="Material"/>
    <s v="ONCOCLINICAS DO BRASIL SERVICOS MEDICOS SA"/>
    <x v="37"/>
    <d v="2024-06-12T00:00:00"/>
    <x v="0"/>
    <m/>
  </r>
  <r>
    <x v="0"/>
    <n v="783170"/>
    <x v="0"/>
    <x v="353"/>
    <s v="DE PAULA GRAFICA DIGITAL LTDA ME"/>
    <s v="04/06/2024"/>
    <s v="04/07/2024"/>
    <n v="1570"/>
    <s v="Analisar - Lançamento Fiscal"/>
    <n v="667"/>
    <n v="1.0860399999999999"/>
    <s v="Material"/>
    <s v="AIO- INSTITUTO DE CANCÊR"/>
    <x v="37"/>
    <d v="2024-06-12T00:00:00"/>
    <x v="0"/>
    <m/>
  </r>
  <r>
    <x v="0"/>
    <n v="783166"/>
    <x v="0"/>
    <x v="354"/>
    <s v="MBS INFORMATICA LTDA. - ME"/>
    <s v="03/06/2024"/>
    <s v="02/07/2024"/>
    <n v="2024126"/>
    <s v="Verificar - Dados do Produto"/>
    <n v="3310.11"/>
    <n v="1.00301"/>
    <s v="Serviço"/>
    <s v="ONCO CLINICA RECIFE LTDA"/>
    <x v="23"/>
    <d v="2024-06-12T00:00:00"/>
    <x v="0"/>
    <m/>
  </r>
  <r>
    <x v="0"/>
    <n v="783165"/>
    <x v="0"/>
    <x v="355"/>
    <s v="MBS INFORMATICA LTDA. - ME"/>
    <s v="03/06/2024"/>
    <s v="02/07/2024"/>
    <n v="2024125"/>
    <s v="Verificar - Dados do Produto"/>
    <n v="2083.33"/>
    <n v="1.05701"/>
    <s v="Serviço"/>
    <s v="NAVARRA RJ SERVICOS ONCOLOGICOS S.A."/>
    <x v="23"/>
    <d v="2024-06-12T00:00:00"/>
    <x v="0"/>
    <m/>
  </r>
  <r>
    <x v="0"/>
    <n v="783164"/>
    <x v="0"/>
    <x v="356"/>
    <s v="MBS INFORMATICA LTDA. - ME"/>
    <s v="03/06/2024"/>
    <s v="02/07/2024"/>
    <n v="2024124"/>
    <s v="Verificar - Dados do Produto"/>
    <n v="2206.7199999999998"/>
    <n v="1.0340100000000001"/>
    <s v="Serviço"/>
    <s v="RADIOTERAPIA ONCOCLINICAS RECIFE LTDA"/>
    <x v="23"/>
    <d v="2024-06-12T00:00:00"/>
    <x v="0"/>
    <m/>
  </r>
  <r>
    <x v="0"/>
    <n v="783163"/>
    <x v="0"/>
    <x v="357"/>
    <s v="MBS INFORMATICA LTDA. - ME"/>
    <s v="03/06/2024"/>
    <s v="02/07/2024"/>
    <n v="2024123"/>
    <s v="Verificar - Dados do Produto"/>
    <n v="3310.13"/>
    <n v="1.0320100000000001"/>
    <s v="Serviço"/>
    <s v="RADIOTERAPIA ONCOCLINICAS SAO PAULO LTDA "/>
    <x v="23"/>
    <d v="2024-06-12T00:00:00"/>
    <x v="0"/>
    <m/>
  </r>
  <r>
    <x v="0"/>
    <n v="783161"/>
    <x v="0"/>
    <x v="358"/>
    <s v="MBS INFORMATICA LTDA. - ME"/>
    <s v="03/06/2024"/>
    <s v="02/07/2024"/>
    <n v="2024122"/>
    <s v="Verificar - Dados do Produto"/>
    <n v="2206.77"/>
    <n v="1.02301"/>
    <s v="Serviço"/>
    <s v="NOS - NUCLEO DE ONCOLOGIA DE SERGIPE S.A"/>
    <x v="23"/>
    <d v="2024-06-12T00:00:00"/>
    <x v="0"/>
    <m/>
  </r>
  <r>
    <x v="0"/>
    <n v="783158"/>
    <x v="0"/>
    <x v="359"/>
    <s v="MBS INFORMATICA LTDA. - ME"/>
    <s v="03/06/2024"/>
    <s v="02/07/2024"/>
    <n v="2024121"/>
    <s v="Verificar - Dados do Produto"/>
    <n v="7723.66"/>
    <n v="1.00901"/>
    <s v="Serviço"/>
    <s v="MULTIHEMO SERVICOS MEDICOS S/A "/>
    <x v="23"/>
    <d v="2024-06-12T00:00:00"/>
    <x v="0"/>
    <m/>
  </r>
  <r>
    <x v="0"/>
    <n v="783155"/>
    <x v="0"/>
    <x v="360"/>
    <s v="MBS INFORMATICA LTDA. - ME"/>
    <s v="03/06/2024"/>
    <s v="02/07/2024"/>
    <n v="2024120"/>
    <s v="Verificar - Dados do Produto"/>
    <n v="2206.75"/>
    <n v="1.00701"/>
    <s v="Serviço"/>
    <s v="ONCOCLINICAS SALVADOR S.A "/>
    <x v="23"/>
    <d v="2024-06-12T00:00:00"/>
    <x v="0"/>
    <m/>
  </r>
  <r>
    <x v="0"/>
    <n v="783153"/>
    <x v="0"/>
    <x v="361"/>
    <s v="MBS INFORMATICA LTDA. - ME"/>
    <s v="03/06/2024"/>
    <s v="02/07/2024"/>
    <n v="2024119"/>
    <s v="Verificar - Dados do Produto"/>
    <n v="3409.37"/>
    <n v="1.01702"/>
    <s v="Serviço"/>
    <s v="CENTRO DE QUIMIOTERAPIA ONCOCLINICAS S/A "/>
    <x v="23"/>
    <d v="2024-06-12T00:00:00"/>
    <x v="0"/>
    <m/>
  </r>
  <r>
    <x v="0"/>
    <n v="783151"/>
    <x v="0"/>
    <x v="362"/>
    <s v="MBS INFORMATICA LTDA. - ME"/>
    <s v="03/06/2024"/>
    <s v="02/07/2024"/>
    <n v="2024117"/>
    <s v="Verificar - Dados do Produto"/>
    <n v="3409.4"/>
    <n v="1.0220100000000001"/>
    <s v="Serviço"/>
    <s v="CECON - CENTRO CAPIXABA DE ONCOLOGIA S.A"/>
    <x v="23"/>
    <d v="2024-06-12T00:00:00"/>
    <x v="0"/>
    <m/>
  </r>
  <r>
    <x v="1"/>
    <n v="783150"/>
    <x v="0"/>
    <x v="363"/>
    <s v="Cria Producoes Artisticas Ltda"/>
    <s v="04/06/2024"/>
    <s v="02/07/2024"/>
    <n v="348"/>
    <s v="Analisar - Lançamento Fiscal"/>
    <n v="2125"/>
    <n v="1.04901"/>
    <s v="Serviço"/>
    <s v="ALIANCA INSTITUTO DE ONCOLOGIA S.A. "/>
    <x v="23"/>
    <d v="2024-06-12T00:00:00"/>
    <x v="0"/>
    <m/>
  </r>
  <r>
    <x v="1"/>
    <n v="782929"/>
    <x v="0"/>
    <x v="364"/>
    <s v="Cria Producoes Artisticas Ltda"/>
    <s v="04/06/2024"/>
    <s v="04/07/2024"/>
    <n v="351"/>
    <s v="Analisar - Lançamento Fiscal"/>
    <n v="2125"/>
    <n v="1.0860099999999999"/>
    <s v="Serviço"/>
    <s v="AIO- INSTITUTO DE CANCÊR"/>
    <x v="37"/>
    <d v="2024-06-12T00:00:00"/>
    <x v="0"/>
    <m/>
  </r>
  <r>
    <x v="1"/>
    <n v="782910"/>
    <x v="0"/>
    <x v="365"/>
    <s v="MEZZOW DESENCOLVIMENTO DE SISTEMA LTDA-ME"/>
    <s v="04/06/2024"/>
    <s v="04/07/2024"/>
    <n v="537"/>
    <s v="Verificar - Dados do Produto"/>
    <n v="29420.98"/>
    <n v="1.07602"/>
    <s v="Serviço"/>
    <s v="CAM - CLINICA DE ASSISTENCIA A MULHER LTDA"/>
    <x v="37"/>
    <d v="2024-06-12T00:00:00"/>
    <x v="0"/>
    <m/>
  </r>
  <r>
    <x v="2"/>
    <n v="782892"/>
    <x v="0"/>
    <x v="366"/>
    <s v="QUALITY24 TECNOLOGIA S.A."/>
    <s v="04/06/2024"/>
    <s v="05/07/2024"/>
    <n v="172"/>
    <s v="Analisar - Lançamento Fiscal"/>
    <n v="4800"/>
    <n v="1.0740099999999999"/>
    <s v="Serviço"/>
    <s v="COMPLEXO HOSPITALAR UBERLANDIA S.A"/>
    <x v="30"/>
    <d v="2024-06-12T00:00:00"/>
    <x v="0"/>
    <m/>
  </r>
  <r>
    <x v="1"/>
    <n v="782790"/>
    <x v="0"/>
    <x v="367"/>
    <s v="Cria Producoes Artisticas Ltda"/>
    <s v="04/06/2024"/>
    <s v="02/07/2024"/>
    <n v="349"/>
    <s v="Analisar - Lançamento Fiscal"/>
    <n v="2125"/>
    <n v="1.04101"/>
    <s v="Serviço"/>
    <s v="ONCO VIDA INSTITUTO ESPECIALIZADO DE ONCOLOGIA S.A"/>
    <x v="23"/>
    <d v="2024-06-12T00:00:00"/>
    <x v="0"/>
    <m/>
  </r>
  <r>
    <x v="3"/>
    <n v="782743"/>
    <x v="0"/>
    <x v="368"/>
    <s v="EPIMED SOLUTIONS TECNOLOGIA DE INFORMACOES MEDICAS LTDA"/>
    <s v="03/06/2024"/>
    <s v="05/07/2024"/>
    <n v="31485"/>
    <s v="Analisar - Lançamento Fiscal"/>
    <n v="650"/>
    <n v="1.0820099999999999"/>
    <s v="Serviço"/>
    <s v="COTE - CENTRO ONCOLOGICO E TRATAMENTOS ESPECIAIS LTDA"/>
    <x v="30"/>
    <d v="2024-06-12T00:00:00"/>
    <x v="0"/>
    <m/>
  </r>
  <r>
    <x v="3"/>
    <n v="782741"/>
    <x v="0"/>
    <x v="369"/>
    <s v="EPIMED SOLUTIONS TECNOLOGIA DE INFORMACOES MEDICAS LTDA"/>
    <s v="03/06/2024"/>
    <s v="05/07/2024"/>
    <n v="31484"/>
    <s v="Analisar - Lançamento Fiscal"/>
    <n v="650"/>
    <n v="1.05701"/>
    <s v="Serviço"/>
    <s v="NAVARRA RJ SERVICOS ONCOLOGICOS S.A."/>
    <x v="30"/>
    <d v="2024-06-12T00:00:00"/>
    <x v="0"/>
    <m/>
  </r>
  <r>
    <x v="3"/>
    <n v="782737"/>
    <x v="0"/>
    <x v="370"/>
    <s v="EPIMED SOLUTIONS TECNOLOGIA DE INFORMACOES MEDICAS LTDA"/>
    <s v="03/06/2024"/>
    <s v="05/07/2024"/>
    <n v="31486"/>
    <s v="Analisar - Lançamento Fiscal"/>
    <n v="650"/>
    <n v="1.0480100000000001"/>
    <s v="Serviço"/>
    <s v="CENTRO DE TRATAMENTO DE TUMORES BOTAFOGO S.A. "/>
    <x v="30"/>
    <d v="2024-06-12T00:00:00"/>
    <x v="0"/>
    <m/>
  </r>
  <r>
    <x v="3"/>
    <n v="782613"/>
    <x v="0"/>
    <x v="371"/>
    <s v="FUNDACAO ANTONIO PRUDENTE"/>
    <s v="04/06/2024"/>
    <s v="04/07/2024"/>
    <n v="1209111"/>
    <s v="Verificar - Dados do Produto"/>
    <n v="1409.08"/>
    <n v="1.0620099999999999"/>
    <s v="Serviço"/>
    <s v="LOCUS - ANATOMIA PATOLOGICA E CITOLOGIA LTDA"/>
    <x v="37"/>
    <d v="2024-06-12T00:00:00"/>
    <x v="0"/>
    <m/>
  </r>
  <r>
    <x v="3"/>
    <n v="782387"/>
    <x v="0"/>
    <x v="372"/>
    <s v="MAFER SOLUTION BRASIL LTDA"/>
    <s v="03/06/2024"/>
    <s v="03/07/2024"/>
    <n v="674"/>
    <s v="Analisar - Lançamento Fiscal"/>
    <n v="720"/>
    <n v="1.00108"/>
    <s v="Material"/>
    <s v="ONCOCLINICAS DO BRASIL SERVICOS MEDICOS S.A. - CTO BARRA"/>
    <x v="32"/>
    <d v="2024-06-12T00:00:00"/>
    <x v="0"/>
    <m/>
  </r>
  <r>
    <x v="3"/>
    <n v="782364"/>
    <x v="0"/>
    <x v="373"/>
    <s v="BRS SP SUPRIMENTOS CORPORATIVOS S/A_x0009_"/>
    <s v="03/06/2024"/>
    <s v="18/07/2024"/>
    <n v="438639"/>
    <s v="Analisar - Erro - Integração de Pré Nota"/>
    <n v="1039.93"/>
    <n v="1.0740099999999999"/>
    <s v="Material"/>
    <s v="COMPLEXO HOSPITALAR UBERLANDIA S.A"/>
    <x v="42"/>
    <d v="2024-06-12T00:00:00"/>
    <x v="0"/>
    <m/>
  </r>
  <r>
    <x v="0"/>
    <n v="782237"/>
    <x v="0"/>
    <x v="374"/>
    <s v="JK COMERCIO DE FERRAGENS LTDA"/>
    <s v="03/06/2024"/>
    <s v="03/07/2024"/>
    <n v="19655"/>
    <s v="Analisar - Lançamento Fiscal"/>
    <n v="3313.6"/>
    <n v="1.0900099999999999"/>
    <s v="Material"/>
    <s v="CETTRO - CENTRO DE TRATAMENTO ONCOLOGICO LTDA"/>
    <x v="32"/>
    <d v="2024-06-12T00:00:00"/>
    <x v="0"/>
    <m/>
  </r>
  <r>
    <x v="1"/>
    <n v="781633"/>
    <x v="0"/>
    <x v="375"/>
    <s v="OPEN NEW TELECOMUNICACOES LTDA_x0009_"/>
    <s v="03/06/2024"/>
    <s v="02/07/2024"/>
    <n v="2452"/>
    <s v="Verificar - Dados do Produto"/>
    <n v="712.5"/>
    <n v="1.09501"/>
    <s v="Serviço"/>
    <s v="CORP CENTRO DE ONCOLOGIA DE RIO PRETO S.A."/>
    <x v="23"/>
    <d v="2024-06-12T00:00:00"/>
    <x v="0"/>
    <m/>
  </r>
  <r>
    <x v="1"/>
    <n v="781612"/>
    <x v="0"/>
    <x v="376"/>
    <s v="OPEN NEW TELECOMUNICACOES LTDA_x0009_"/>
    <s v="03/06/2024"/>
    <s v="02/07/2024"/>
    <n v="2450"/>
    <s v="Verificar - Dados do Produto"/>
    <n v="1000"/>
    <n v="1.0920300000000001"/>
    <s v="Serviço"/>
    <s v="ONCO &amp; HEMATO SERVICOS MEDICOS S.A."/>
    <x v="23"/>
    <d v="2024-06-12T00:00:00"/>
    <x v="0"/>
    <m/>
  </r>
  <r>
    <x v="1"/>
    <n v="781597"/>
    <x v="0"/>
    <x v="377"/>
    <s v="OPEN NEW TELECOMUNICACOES LTDA_x0009_"/>
    <s v="03/06/2024"/>
    <s v="02/07/2024"/>
    <n v="2448"/>
    <s v="Verificar - Dados do Produto"/>
    <n v="1163.75"/>
    <n v="1.10301"/>
    <s v="Serviço"/>
    <s v="NEON - MATRIZ"/>
    <x v="23"/>
    <d v="2024-06-12T00:00:00"/>
    <x v="0"/>
    <m/>
  </r>
  <r>
    <x v="1"/>
    <n v="781575"/>
    <x v="0"/>
    <x v="378"/>
    <s v="OPEN NEW TELECOMUNICACOES LTDA_x0009_"/>
    <s v="03/06/2024"/>
    <s v="02/07/2024"/>
    <n v="2447"/>
    <s v="Verificar - Dados do Produto"/>
    <n v="1580"/>
    <n v="1.0940099999999999"/>
    <s v="Serviço"/>
    <s v="AIO INSTITUTO DE CANCER DE MANAUS LTDA"/>
    <x v="23"/>
    <d v="2024-06-12T00:00:00"/>
    <x v="0"/>
    <m/>
  </r>
  <r>
    <x v="1"/>
    <n v="781569"/>
    <x v="0"/>
    <x v="379"/>
    <s v="OPEN NEW TELECOMUNICACOES LTDA_x0009_"/>
    <s v="03/06/2024"/>
    <s v="03/07/2024"/>
    <n v="2446"/>
    <s v="Verificar - Dados do Produto"/>
    <n v="1035.5"/>
    <n v="1.0860099999999999"/>
    <s v="Serviço"/>
    <s v="AIO- INSTITUTO DE CANCÊR"/>
    <x v="32"/>
    <d v="2024-06-12T00:00:00"/>
    <x v="0"/>
    <m/>
  </r>
  <r>
    <x v="1"/>
    <n v="781566"/>
    <x v="0"/>
    <x v="380"/>
    <s v="OPEN NEW TELECOMUNICACOES LTDA_x0009_"/>
    <s v="03/06/2024"/>
    <s v="02/07/2024"/>
    <n v="2445"/>
    <s v="Verificar - Dados do Produto"/>
    <n v="1140"/>
    <n v="1.0860099999999999"/>
    <s v="Serviço"/>
    <s v="AIO- INSTITUTO DE CANCÊR"/>
    <x v="23"/>
    <d v="2024-06-12T00:00:00"/>
    <x v="0"/>
    <m/>
  </r>
  <r>
    <x v="1"/>
    <n v="781559"/>
    <x v="0"/>
    <x v="381"/>
    <s v="OPEN NEW TELECOMUNICACOES LTDA_x0009_"/>
    <s v="03/06/2024"/>
    <s v="02/07/2024"/>
    <n v="2443"/>
    <s v="Verificar - Dados do Produto"/>
    <n v="1150"/>
    <n v="1.0900099999999999"/>
    <s v="Serviço"/>
    <s v="CETTRO - CENTRO DE TRATAMENTO ONCOLOGICO LTDA"/>
    <x v="23"/>
    <d v="2024-06-12T00:00:00"/>
    <x v="0"/>
    <m/>
  </r>
  <r>
    <x v="1"/>
    <n v="781558"/>
    <x v="0"/>
    <x v="382"/>
    <s v="OPEN NEW TELECOMUNICACOES LTDA_x0009_"/>
    <s v="03/06/2024"/>
    <s v="02/07/2024"/>
    <n v="2444"/>
    <s v="Verificar - Dados do Produto"/>
    <n v="1095"/>
    <n v="1.0900099999999999"/>
    <s v="Serviço"/>
    <s v="CETTRO - CENTRO DE TRATAMENTO ONCOLOGICO LTDA"/>
    <x v="23"/>
    <d v="2024-06-12T00:00:00"/>
    <x v="0"/>
    <m/>
  </r>
  <r>
    <x v="0"/>
    <n v="781330"/>
    <x v="0"/>
    <x v="383"/>
    <s v="UNITY SERVICOS DE IMPRESSAO LTDA"/>
    <s v="03/06/2024"/>
    <s v="05/07/2024"/>
    <n v="25997"/>
    <s v="Analisar - Lançamento Fiscal"/>
    <n v="460"/>
    <n v="1.0900099999999999"/>
    <s v="Serviço"/>
    <s v="CETTRO - CENTRO DE TRATAMENTO ONCOLOGICO LTDA"/>
    <x v="30"/>
    <d v="2024-06-12T00:00:00"/>
    <x v="0"/>
    <m/>
  </r>
  <r>
    <x v="1"/>
    <n v="781175"/>
    <x v="0"/>
    <x v="384"/>
    <s v="INSTITUTO HERMES PARDINI S.A."/>
    <s v="03/06/2024"/>
    <s v="05/07/2024"/>
    <n v="24112592"/>
    <s v="Verificar - Dados do Produto"/>
    <n v="1921.2"/>
    <n v="1.0540099999999999"/>
    <s v="Serviço"/>
    <s v="NUCLEO DE HEMATOLOGIA E TRANSPLANTE DE MEDULA OSSEA DE MINAS GERAIS LTDA."/>
    <x v="30"/>
    <d v="2024-06-12T00:00:00"/>
    <x v="0"/>
    <m/>
  </r>
  <r>
    <x v="3"/>
    <n v="781165"/>
    <x v="0"/>
    <x v="385"/>
    <s v="ZANDER ETIQUETAS LTDA - EPP"/>
    <s v="03/06/2024"/>
    <s v="03/07/2024"/>
    <n v="16736"/>
    <s v="Analisar - Lançamento Fiscal"/>
    <n v="1020"/>
    <n v="1.06501"/>
    <s v="Material"/>
    <s v="IRA INSTITUTO ROBERTO ALVARENGA LTDA"/>
    <x v="32"/>
    <d v="2024-06-12T00:00:00"/>
    <x v="0"/>
    <m/>
  </r>
  <r>
    <x v="10"/>
    <n v="2284118"/>
    <x v="1"/>
    <x v="23"/>
    <s v="Integrador Fluig"/>
    <s v="15/11/2023"/>
    <s v="13/06/2024"/>
    <m/>
    <s v="Analise do Fiscal"/>
    <m/>
    <m/>
    <s v="07301 - MV INSTALACOES DE GASES LTDA - ME"/>
    <m/>
    <x v="21"/>
    <d v="2024-06-12T00:00:00"/>
    <x v="0"/>
    <m/>
  </r>
  <r>
    <x v="10"/>
    <n v="2482270"/>
    <x v="1"/>
    <x v="23"/>
    <s v="Integrador Fluig"/>
    <s v="05/03/2024"/>
    <s v="13/06/2024"/>
    <m/>
    <s v="Analise do Fiscal"/>
    <m/>
    <m/>
    <s v="11 Junho, 2024 - "/>
    <m/>
    <x v="21"/>
    <d v="2024-06-12T00:00:00"/>
    <x v="0"/>
    <m/>
  </r>
  <r>
    <x v="10"/>
    <n v="2496949"/>
    <x v="1"/>
    <x v="23"/>
    <s v="Integrador Fluig"/>
    <s v="12/03/2024"/>
    <s v="13/06/2024"/>
    <m/>
    <s v="Analise do Fiscal"/>
    <m/>
    <m/>
    <s v="11 Junho, 2024 - "/>
    <m/>
    <x v="21"/>
    <d v="2024-06-12T00:00:00"/>
    <x v="0"/>
    <m/>
  </r>
  <r>
    <x v="10"/>
    <n v="2531430"/>
    <x v="1"/>
    <x v="23"/>
    <s v="Integrador Fluig"/>
    <s v="01/04/2024"/>
    <s v="13/06/2024"/>
    <m/>
    <s v="Analise do Fiscal"/>
    <m/>
    <m/>
    <s v="05401 - CONSORCIO OTIMO DE BILHETAGEM ELETRONICA"/>
    <m/>
    <x v="21"/>
    <d v="2024-06-12T00:00:00"/>
    <x v="0"/>
    <m/>
  </r>
  <r>
    <x v="10"/>
    <n v="2531544"/>
    <x v="1"/>
    <x v="23"/>
    <s v="Integrador Fluig"/>
    <s v="01/04/2024"/>
    <s v="13/06/2024"/>
    <m/>
    <s v="Analise do Fiscal"/>
    <m/>
    <m/>
    <s v="05401 - CONSORCIO OTIMO DE BILHETAGEM ELETRONICA"/>
    <m/>
    <x v="21"/>
    <d v="2024-06-12T00:00:00"/>
    <x v="0"/>
    <m/>
  </r>
  <r>
    <x v="10"/>
    <n v="2531733"/>
    <x v="1"/>
    <x v="23"/>
    <s v="Integrador Fluig"/>
    <s v="01/04/2024"/>
    <s v="13/06/2024"/>
    <m/>
    <s v="Analise do Fiscal"/>
    <m/>
    <m/>
    <s v="05401 - CONSORCIO OTIMO DE BILHETAGEM ELETRONICA"/>
    <m/>
    <x v="21"/>
    <d v="2024-06-12T00:00:00"/>
    <x v="0"/>
    <m/>
  </r>
  <r>
    <x v="10"/>
    <n v="2531767"/>
    <x v="1"/>
    <x v="23"/>
    <s v="Integrador Fluig"/>
    <s v="01/04/2024"/>
    <s v="13/06/2024"/>
    <m/>
    <s v="Analise do Fiscal"/>
    <m/>
    <m/>
    <s v="02701 - CONSORCIO OTIMO DE BILHETAGEM ELETRONICA"/>
    <m/>
    <x v="21"/>
    <d v="2024-06-12T00:00:00"/>
    <x v="0"/>
    <m/>
  </r>
  <r>
    <x v="10"/>
    <n v="2531781"/>
    <x v="1"/>
    <x v="23"/>
    <s v="Integrador Fluig"/>
    <s v="01/04/2024"/>
    <s v="13/06/2024"/>
    <m/>
    <s v="Analise do Fiscal"/>
    <m/>
    <m/>
    <s v="00105 - CONSORCIO OTIMO DE BILHETAGEM ELETRONICA"/>
    <m/>
    <x v="21"/>
    <d v="2024-06-12T00:00:00"/>
    <x v="0"/>
    <m/>
  </r>
  <r>
    <x v="10"/>
    <n v="2531789"/>
    <x v="1"/>
    <x v="23"/>
    <s v="Integrador Fluig"/>
    <s v="01/04/2024"/>
    <s v="13/06/2024"/>
    <m/>
    <s v="Analise do Fiscal"/>
    <m/>
    <m/>
    <s v="05401 - CONSORCIO OTIMO DE BILHETAGEM ELETRONICA"/>
    <m/>
    <x v="21"/>
    <d v="2024-06-12T00:00:00"/>
    <x v="0"/>
    <m/>
  </r>
  <r>
    <x v="10"/>
    <n v="2531822"/>
    <x v="1"/>
    <x v="23"/>
    <s v="Integrador Fluig"/>
    <s v="01/04/2024"/>
    <s v="13/06/2024"/>
    <m/>
    <s v="Analise do Fiscal"/>
    <m/>
    <m/>
    <s v="05401 - CONSORCIO OTIMO DE BILHETAGEM ELETRONICA"/>
    <m/>
    <x v="21"/>
    <d v="2024-06-12T00:00:00"/>
    <x v="0"/>
    <m/>
  </r>
  <r>
    <x v="10"/>
    <n v="2531849"/>
    <x v="1"/>
    <x v="23"/>
    <s v="Integrador Fluig"/>
    <s v="01/04/2024"/>
    <s v="13/06/2024"/>
    <m/>
    <s v="Analise do Fiscal"/>
    <m/>
    <m/>
    <s v="05401 - CONSORCIO OTIMO DE BILHETAGEM ELETRONICA"/>
    <m/>
    <x v="21"/>
    <d v="2024-06-12T00:00:00"/>
    <x v="0"/>
    <m/>
  </r>
  <r>
    <x v="10"/>
    <n v="2531867"/>
    <x v="1"/>
    <x v="23"/>
    <s v="Integrador Fluig"/>
    <s v="01/04/2024"/>
    <s v="13/06/2024"/>
    <m/>
    <s v="Analise do Fiscal"/>
    <m/>
    <m/>
    <s v="00105 - CONSORCIO OTIMO DE BILHETAGEM ELETRONICA"/>
    <m/>
    <x v="21"/>
    <d v="2024-06-12T00:00:00"/>
    <x v="0"/>
    <m/>
  </r>
  <r>
    <x v="10"/>
    <n v="2532120"/>
    <x v="1"/>
    <x v="23"/>
    <s v="Integrador Fluig"/>
    <s v="01/04/2024"/>
    <s v="13/06/2024"/>
    <m/>
    <s v="Analise do Fiscal"/>
    <m/>
    <m/>
    <s v="00105 - CONSORCIO OTIMO DE BILHETAGEM ELETRONICA"/>
    <m/>
    <x v="21"/>
    <d v="2024-06-12T00:00:00"/>
    <x v="0"/>
    <m/>
  </r>
  <r>
    <x v="10"/>
    <n v="2532361"/>
    <x v="1"/>
    <x v="23"/>
    <s v="Integrador Fluig"/>
    <s v="02/04/2024"/>
    <s v="13/06/2024"/>
    <m/>
    <s v="Analise do Fiscal"/>
    <m/>
    <m/>
    <s v="07301 - PRIME AUTOMACAO COMERCIAL LTDA"/>
    <m/>
    <x v="21"/>
    <d v="2024-06-12T00:00:00"/>
    <x v="0"/>
    <m/>
  </r>
  <r>
    <x v="10"/>
    <n v="2542816"/>
    <x v="1"/>
    <x v="23"/>
    <s v="Integrador Fluig"/>
    <s v="05/04/2024"/>
    <s v="13/06/2024"/>
    <m/>
    <s v="Analise do Fiscal"/>
    <m/>
    <m/>
    <s v="04301 - CONSORCIO OTIMO DE BILHETAGEM ELETRONICA"/>
    <m/>
    <x v="21"/>
    <d v="2024-06-12T00:00:00"/>
    <x v="0"/>
    <m/>
  </r>
  <r>
    <x v="10"/>
    <n v="2542879"/>
    <x v="1"/>
    <x v="23"/>
    <s v="Integrador Fluig"/>
    <s v="05/04/2024"/>
    <s v="13/06/2024"/>
    <m/>
    <s v="Analise do Fiscal"/>
    <m/>
    <m/>
    <s v="00101 - CONSORCIO OTIMO DE BILHETAGEM ELETRONICA"/>
    <m/>
    <x v="21"/>
    <d v="2024-06-12T00:00:00"/>
    <x v="0"/>
    <m/>
  </r>
  <r>
    <x v="10"/>
    <n v="2562429"/>
    <x v="1"/>
    <x v="23"/>
    <s v="Integrador Fluig"/>
    <s v="15/04/2024"/>
    <s v="13/06/2024"/>
    <m/>
    <s v="Analise do Fiscal"/>
    <m/>
    <m/>
    <s v="00105 - CONSORCIO OTIMO DE BILHETAGEM ELETRONICA"/>
    <m/>
    <x v="21"/>
    <d v="2024-06-12T00:00:00"/>
    <x v="0"/>
    <m/>
  </r>
  <r>
    <x v="10"/>
    <n v="2574389"/>
    <x v="1"/>
    <x v="23"/>
    <s v="Integrador Fluig"/>
    <s v="19/04/2024"/>
    <s v="13/06/2024"/>
    <m/>
    <s v="Analise do Fiscal"/>
    <m/>
    <m/>
    <s v="02701 - CONSORCIO OTIMO DE BILHETAGEM ELETRONICA"/>
    <m/>
    <x v="21"/>
    <d v="2024-06-12T00:00:00"/>
    <x v="0"/>
    <m/>
  </r>
  <r>
    <x v="10"/>
    <n v="2574397"/>
    <x v="1"/>
    <x v="23"/>
    <s v="Integrador Fluig"/>
    <s v="19/04/2024"/>
    <s v="13/06/2024"/>
    <m/>
    <s v="Analise do Fiscal"/>
    <m/>
    <m/>
    <s v="04301 - CONSORCIO OTIMO DE BILHETAGEM ELETRONICA"/>
    <m/>
    <x v="21"/>
    <d v="2024-06-12T00:00:00"/>
    <x v="0"/>
    <m/>
  </r>
  <r>
    <x v="10"/>
    <n v="2574416"/>
    <x v="1"/>
    <x v="23"/>
    <s v="Integrador Fluig"/>
    <s v="19/04/2024"/>
    <s v="13/06/2024"/>
    <m/>
    <s v="Analise do Fiscal"/>
    <m/>
    <m/>
    <s v="00101 - CONSORCIO OTIMO DE BILHETAGEM ELETRONICA"/>
    <m/>
    <x v="21"/>
    <d v="2024-06-12T00:00:00"/>
    <x v="0"/>
    <m/>
  </r>
  <r>
    <x v="10"/>
    <n v="2574435"/>
    <x v="1"/>
    <x v="23"/>
    <s v="Integrador Fluig"/>
    <s v="19/04/2024"/>
    <s v="13/06/2024"/>
    <m/>
    <s v="Analise do Fiscal"/>
    <m/>
    <m/>
    <s v="00105 - CONSORCIO OTIMO DE BILHETAGEM ELETRONICA"/>
    <m/>
    <x v="21"/>
    <d v="2024-06-12T00:00:00"/>
    <x v="0"/>
    <m/>
  </r>
  <r>
    <x v="10"/>
    <n v="2600742"/>
    <x v="1"/>
    <x v="23"/>
    <s v="Integrador Fluig"/>
    <s v="03/05/2024"/>
    <s v="13/06/2024"/>
    <m/>
    <s v="Analise do Fiscal"/>
    <m/>
    <m/>
    <s v="00105 - CONSORCIO OTIMO DE BILHETAGEM ELETRONICA"/>
    <m/>
    <x v="21"/>
    <d v="2024-06-12T00:00:00"/>
    <x v="0"/>
    <m/>
  </r>
  <r>
    <x v="10"/>
    <n v="2605120"/>
    <x v="1"/>
    <x v="23"/>
    <s v="Integrador Fluig"/>
    <s v="06/05/2024"/>
    <s v="13/06/2024"/>
    <m/>
    <s v="Analise do Fiscal"/>
    <m/>
    <m/>
    <s v="02901 - RONAN RODRIGUES FRANCA 08056029680"/>
    <m/>
    <x v="21"/>
    <d v="2024-06-12T00:00:00"/>
    <x v="0"/>
    <m/>
  </r>
  <r>
    <x v="10"/>
    <n v="2607994"/>
    <x v="1"/>
    <x v="23"/>
    <s v="Integrador Fluig"/>
    <s v="07/05/2024"/>
    <s v="13/06/2024"/>
    <m/>
    <s v="Analise do Fiscal"/>
    <m/>
    <m/>
    <s v="07602 - MEZZOW DESENCOLVIMENTO DE SISTEMA LTDA-ME"/>
    <m/>
    <x v="21"/>
    <d v="2024-06-12T00:00:00"/>
    <x v="0"/>
    <m/>
  </r>
  <r>
    <x v="10"/>
    <n v="2608852"/>
    <x v="1"/>
    <x v="23"/>
    <s v="Integrador Fluig"/>
    <s v="07/05/2024"/>
    <s v="13/06/2024"/>
    <m/>
    <s v="Analise do Fiscal"/>
    <m/>
    <m/>
    <s v="00101 - L. P. DOIN - CULTURA, LAZER E MARKETING EIRELI"/>
    <m/>
    <x v="21"/>
    <d v="2024-06-12T00:00:00"/>
    <x v="0"/>
    <m/>
  </r>
  <r>
    <x v="10"/>
    <n v="2608914"/>
    <x v="1"/>
    <x v="23"/>
    <s v="Integrador Fluig"/>
    <s v="07/05/2024"/>
    <s v="13/06/2024"/>
    <m/>
    <s v="Analise do Fiscal"/>
    <m/>
    <m/>
    <s v="00101 - L. P. DOIN - CULTURA, LAZER E MARKETING EIRELI"/>
    <m/>
    <x v="21"/>
    <d v="2024-06-12T00:00:00"/>
    <x v="0"/>
    <m/>
  </r>
  <r>
    <x v="10"/>
    <n v="2608943"/>
    <x v="1"/>
    <x v="23"/>
    <s v="Integrador Fluig"/>
    <s v="07/05/2024"/>
    <s v="13/06/2024"/>
    <m/>
    <s v="Analise do Fiscal"/>
    <m/>
    <m/>
    <s v="00101 - L. P. DOIN - CULTURA, LAZER E MARKETING EIRELI"/>
    <m/>
    <x v="21"/>
    <d v="2024-06-12T00:00:00"/>
    <x v="0"/>
    <m/>
  </r>
  <r>
    <x v="10"/>
    <n v="2608979"/>
    <x v="1"/>
    <x v="23"/>
    <s v="Integrador Fluig"/>
    <s v="07/05/2024"/>
    <s v="13/06/2024"/>
    <m/>
    <s v="Analise do Fiscal"/>
    <m/>
    <m/>
    <s v="00104 - STRATVIEW BRASIL SERVICOS EM INFORMATICA LTDA"/>
    <m/>
    <x v="21"/>
    <d v="2024-06-12T00:00:00"/>
    <x v="0"/>
    <m/>
  </r>
  <r>
    <x v="10"/>
    <n v="2609606"/>
    <x v="1"/>
    <x v="23"/>
    <s v="Integrador Fluig"/>
    <s v="07/05/2024"/>
    <s v="13/06/2024"/>
    <m/>
    <s v="Analise do Fiscal"/>
    <m/>
    <m/>
    <s v="00104 - AF FIGUEIREDO - PALESTRAS, CURSOS E CONGRESSOS LTDA."/>
    <m/>
    <x v="21"/>
    <d v="2024-06-12T00:00:00"/>
    <x v="0"/>
    <m/>
  </r>
  <r>
    <x v="10"/>
    <n v="2611149"/>
    <x v="1"/>
    <x v="23"/>
    <s v="Integrador Fluig"/>
    <s v="08/05/2024"/>
    <s v="13/06/2024"/>
    <m/>
    <s v="Analise do Fiscal"/>
    <m/>
    <m/>
    <s v="11 Junho, 2024 - "/>
    <m/>
    <x v="21"/>
    <d v="2024-06-12T00:00:00"/>
    <x v="0"/>
    <m/>
  </r>
  <r>
    <x v="10"/>
    <n v="2611183"/>
    <x v="1"/>
    <x v="23"/>
    <s v="Integrador Fluig"/>
    <s v="08/05/2024"/>
    <s v="13/06/2024"/>
    <m/>
    <s v="Analise do Fiscal"/>
    <m/>
    <m/>
    <s v="01010 - AMERICANAS S.A - EM RECUPERACAO JUDICIAL"/>
    <m/>
    <x v="21"/>
    <d v="2024-06-12T00:00:00"/>
    <x v="0"/>
    <m/>
  </r>
  <r>
    <x v="10"/>
    <n v="2611299"/>
    <x v="1"/>
    <x v="23"/>
    <s v="Integrador Fluig"/>
    <s v="08/05/2024"/>
    <s v="13/06/2024"/>
    <m/>
    <s v="Analise do Fiscal"/>
    <m/>
    <m/>
    <s v="00101 - CONSORCIO OTIMO DE BILHETAGEM ELETRONICA"/>
    <m/>
    <x v="21"/>
    <d v="2024-06-12T00:00:00"/>
    <x v="0"/>
    <m/>
  </r>
  <r>
    <x v="10"/>
    <n v="2619936"/>
    <x v="1"/>
    <x v="23"/>
    <s v="Integrador Fluig"/>
    <s v="10/05/2024"/>
    <s v="13/06/2024"/>
    <m/>
    <s v="Analise do Fiscal"/>
    <m/>
    <m/>
    <s v="03901 - ASSOCIACAO DE ENSINO SOCIAL PROFISSIONALIZANTE"/>
    <m/>
    <x v="21"/>
    <d v="2024-06-12T00:00:00"/>
    <x v="0"/>
    <m/>
  </r>
  <r>
    <x v="10"/>
    <n v="2619967"/>
    <x v="1"/>
    <x v="23"/>
    <s v="Integrador Fluig"/>
    <s v="10/05/2024"/>
    <s v="13/06/2024"/>
    <m/>
    <s v="Analise do Fiscal"/>
    <m/>
    <m/>
    <s v="09501 - CENTRO DE INTEGRACAO EMPRESA ESCOLA CIE E"/>
    <m/>
    <x v="21"/>
    <d v="2024-06-12T00:00:00"/>
    <x v="0"/>
    <m/>
  </r>
  <r>
    <x v="10"/>
    <n v="2619985"/>
    <x v="1"/>
    <x v="23"/>
    <s v="Integrador Fluig"/>
    <s v="10/05/2024"/>
    <s v="13/06/2024"/>
    <m/>
    <s v="Analise do Fiscal"/>
    <m/>
    <m/>
    <s v="06201 - ASSOCIACAO DE ENSINO SOCIAL PROFISSIONALIZANTE"/>
    <m/>
    <x v="21"/>
    <d v="2024-06-12T00:00:00"/>
    <x v="0"/>
    <m/>
  </r>
  <r>
    <x v="10"/>
    <n v="2619989"/>
    <x v="1"/>
    <x v="23"/>
    <s v="Integrador Fluig"/>
    <s v="10/05/2024"/>
    <s v="13/06/2024"/>
    <m/>
    <s v="Analise do Fiscal"/>
    <m/>
    <m/>
    <s v="07501 - ASSOCIACAO DE ENSINO SOCIAL PROFISSIONALIZANTE"/>
    <m/>
    <x v="21"/>
    <d v="2024-06-12T00:00:00"/>
    <x v="0"/>
    <m/>
  </r>
  <r>
    <x v="10"/>
    <n v="2620001"/>
    <x v="1"/>
    <x v="23"/>
    <s v="Integrador Fluig"/>
    <s v="10/05/2024"/>
    <s v="13/06/2024"/>
    <m/>
    <s v="Analise do Fiscal"/>
    <m/>
    <m/>
    <s v="06501 - ASSOCIACAO DE ENSINO SOCIAL PROFISSIONALIZANTE"/>
    <m/>
    <x v="21"/>
    <d v="2024-06-12T00:00:00"/>
    <x v="0"/>
    <m/>
  </r>
  <r>
    <x v="10"/>
    <n v="2633642"/>
    <x v="1"/>
    <x v="23"/>
    <s v="Integrador Fluig"/>
    <s v="13/05/2024"/>
    <s v="13/06/2024"/>
    <m/>
    <s v="Analise do Fiscal"/>
    <m/>
    <m/>
    <s v="01702 - AGIL MED COMERCIO DE MEDICAMENTOS LTDA."/>
    <m/>
    <x v="21"/>
    <d v="2024-06-12T00:00:00"/>
    <x v="0"/>
    <m/>
  </r>
  <r>
    <x v="10"/>
    <n v="2633990"/>
    <x v="1"/>
    <x v="23"/>
    <s v="Integrador Fluig"/>
    <s v="13/05/2024"/>
    <s v="13/06/2024"/>
    <m/>
    <s v="Analise do Fiscal"/>
    <m/>
    <m/>
    <s v="07301 - FARMATEST MATERIAIS MEDICO E LABORATORIAIS LTDA"/>
    <m/>
    <x v="21"/>
    <d v="2024-06-12T00:00:00"/>
    <x v="0"/>
    <m/>
  </r>
  <r>
    <x v="10"/>
    <n v="2644561"/>
    <x v="1"/>
    <x v="23"/>
    <s v="Integrador Fluig"/>
    <s v="14/05/2024"/>
    <s v="13/06/2024"/>
    <m/>
    <s v="Analise do Fiscal"/>
    <m/>
    <m/>
    <s v="10303 - CLS INFORMATICA LTDA"/>
    <m/>
    <x v="21"/>
    <d v="2024-06-12T00:00:00"/>
    <x v="0"/>
    <m/>
  </r>
  <r>
    <x v="10"/>
    <n v="2795044"/>
    <x v="1"/>
    <x v="23"/>
    <s v="Integrador Fluig"/>
    <s v="20/05/2024"/>
    <s v="13/06/2024"/>
    <m/>
    <s v="Analise do Fiscal"/>
    <m/>
    <m/>
    <s v="15301 - ACCENTURE DO BRASIL LTDA"/>
    <m/>
    <x v="21"/>
    <d v="2024-06-12T00:00:00"/>
    <x v="0"/>
    <m/>
  </r>
  <r>
    <x v="10"/>
    <n v="2809340"/>
    <x v="1"/>
    <x v="23"/>
    <s v="Integrador Fluig"/>
    <s v="21/05/2024"/>
    <s v="13/06/2024"/>
    <m/>
    <s v="Analise do Fiscal"/>
    <m/>
    <m/>
    <s v="08601 - TIGRE COMERCIO DE GENEROS ALIMENTICIOS LTDA"/>
    <m/>
    <x v="21"/>
    <d v="2024-06-12T00:00:00"/>
    <x v="0"/>
    <m/>
  </r>
  <r>
    <x v="10"/>
    <n v="2825175"/>
    <x v="1"/>
    <x v="23"/>
    <s v="Integrador Fluig"/>
    <s v="21/05/2024"/>
    <s v="13/06/2024"/>
    <m/>
    <s v="Analise do Fiscal"/>
    <m/>
    <m/>
    <s v="01702 - FORTPEL COMERCIO DE DESCARTAVEIS LTDA"/>
    <m/>
    <x v="21"/>
    <d v="2024-06-12T00:00:00"/>
    <x v="0"/>
    <m/>
  </r>
  <r>
    <x v="10"/>
    <n v="2871315"/>
    <x v="1"/>
    <x v="23"/>
    <s v="Integrador Fluig"/>
    <s v="03/06/2024"/>
    <s v="13/06/2024"/>
    <m/>
    <s v="Analise do Fiscal"/>
    <m/>
    <m/>
    <s v="01011 - FHL COURIER EXPRESS ENTREGA RAPIDA LTDA - ME"/>
    <m/>
    <x v="21"/>
    <d v="2024-06-12T00:00:00"/>
    <x v="0"/>
    <m/>
  </r>
  <r>
    <x v="10"/>
    <n v="2871320"/>
    <x v="1"/>
    <x v="23"/>
    <s v="Integrador Fluig"/>
    <s v="03/06/2024"/>
    <s v="13/06/2024"/>
    <m/>
    <s v="Analise do Fiscal"/>
    <m/>
    <m/>
    <s v="15301 - COMPILA PROCESSAMENTO ELETRONICO DE DADOS LTDA - ME"/>
    <m/>
    <x v="21"/>
    <d v="2024-06-12T00:00:00"/>
    <x v="0"/>
    <m/>
  </r>
  <r>
    <x v="10"/>
    <n v="2871908"/>
    <x v="1"/>
    <x v="23"/>
    <s v="Integrador Fluig"/>
    <s v="03/06/2024"/>
    <s v="13/06/2024"/>
    <m/>
    <s v="Analise do Fiscal"/>
    <m/>
    <m/>
    <s v="00105 - PATOLOGIA CLINICA SAO PAULO LTDA"/>
    <m/>
    <x v="21"/>
    <d v="2024-06-12T00:00:00"/>
    <x v="0"/>
    <m/>
  </r>
  <r>
    <x v="10"/>
    <n v="2873137"/>
    <x v="1"/>
    <x v="23"/>
    <s v="Integrador Fluig"/>
    <s v="03/06/2024"/>
    <s v="13/06/2024"/>
    <m/>
    <s v="Analise do Fiscal"/>
    <m/>
    <m/>
    <s v="04801 - MRB EXPRESS EIRELI"/>
    <m/>
    <x v="21"/>
    <d v="2024-06-12T00:00:00"/>
    <x v="0"/>
    <m/>
  </r>
  <r>
    <x v="10"/>
    <n v="2874551"/>
    <x v="1"/>
    <x v="23"/>
    <s v="Integrador Fluig"/>
    <s v="04/06/2024"/>
    <s v="13/06/2024"/>
    <m/>
    <s v="Analise do Fiscal"/>
    <m/>
    <m/>
    <s v="07603 - TRANSPORTADORA DE DIESEL CAVALO MARINHO LTDA"/>
    <m/>
    <x v="21"/>
    <d v="2024-06-12T00:00:00"/>
    <x v="0"/>
    <m/>
  </r>
  <r>
    <x v="10"/>
    <n v="2874788"/>
    <x v="1"/>
    <x v="23"/>
    <s v="Integrador Fluig"/>
    <s v="04/06/2024"/>
    <s v="13/06/2024"/>
    <m/>
    <s v="Analise do Fiscal"/>
    <m/>
    <m/>
    <s v="02901 - SOCIEDADE BENEF ISRAELITABRAS HOSPITAL ALBERT EINSTEIN"/>
    <m/>
    <x v="21"/>
    <d v="2024-06-12T00:00:00"/>
    <x v="0"/>
    <m/>
  </r>
  <r>
    <x v="10"/>
    <n v="2874799"/>
    <x v="1"/>
    <x v="23"/>
    <s v="Integrador Fluig"/>
    <s v="04/06/2024"/>
    <s v="13/06/2024"/>
    <m/>
    <s v="Analise do Fiscal"/>
    <m/>
    <m/>
    <s v="09101 - MRB EXPRESS EIRELI"/>
    <m/>
    <x v="21"/>
    <d v="2024-06-12T00:00:00"/>
    <x v="0"/>
    <m/>
  </r>
  <r>
    <x v="10"/>
    <n v="2874930"/>
    <x v="1"/>
    <x v="23"/>
    <s v="Integrador Fluig"/>
    <s v="04/06/2024"/>
    <s v="13/06/2024"/>
    <m/>
    <s v="Analise do Fiscal"/>
    <m/>
    <m/>
    <s v="06501 - CONSORCIO OTIMO DE BILHETAGEM ELETRONICA"/>
    <m/>
    <x v="21"/>
    <d v="2024-06-12T00:00:00"/>
    <x v="0"/>
    <m/>
  </r>
  <r>
    <x v="10"/>
    <n v="2875480"/>
    <x v="1"/>
    <x v="23"/>
    <s v="Integrador Fluig"/>
    <s v="04/06/2024"/>
    <s v="13/06/2024"/>
    <m/>
    <s v="Analise do Fiscal"/>
    <m/>
    <m/>
    <s v="07401 - MRB EXPRESS EIRELI"/>
    <m/>
    <x v="21"/>
    <d v="2024-06-12T00:00:00"/>
    <x v="0"/>
    <m/>
  </r>
  <r>
    <x v="10"/>
    <n v="2875812"/>
    <x v="1"/>
    <x v="23"/>
    <s v="Integrador Fluig"/>
    <s v="04/06/2024"/>
    <s v="13/06/2024"/>
    <m/>
    <s v="Analise do Fiscal"/>
    <m/>
    <m/>
    <s v="09101 - MRB EXPRESS EIRELI"/>
    <m/>
    <x v="21"/>
    <d v="2024-06-12T00:00:00"/>
    <x v="0"/>
    <m/>
  </r>
  <r>
    <x v="10"/>
    <n v="2876154"/>
    <x v="1"/>
    <x v="23"/>
    <s v="Integrador Fluig"/>
    <s v="04/06/2024"/>
    <s v="13/06/2024"/>
    <m/>
    <s v="Analise do Fiscal"/>
    <m/>
    <m/>
    <s v="09101 - MRB EXPRESS EIRELI"/>
    <m/>
    <x v="21"/>
    <d v="2024-06-12T00:00:00"/>
    <x v="0"/>
    <m/>
  </r>
  <r>
    <x v="10"/>
    <n v="2876366"/>
    <x v="1"/>
    <x v="23"/>
    <s v="Integrador Fluig"/>
    <s v="04/06/2024"/>
    <s v="13/06/2024"/>
    <m/>
    <s v="Analise do Fiscal"/>
    <m/>
    <m/>
    <s v="02901 - TM - TORRES MIARI PROJETOS E PARTICIPACOES LTDA - EPP"/>
    <m/>
    <x v="21"/>
    <d v="2024-06-12T00:00:00"/>
    <x v="0"/>
    <m/>
  </r>
  <r>
    <x v="10"/>
    <n v="2876373"/>
    <x v="1"/>
    <x v="23"/>
    <s v="Integrador Fluig"/>
    <s v="04/06/2024"/>
    <s v="13/06/2024"/>
    <m/>
    <s v="Analise do Fiscal"/>
    <m/>
    <m/>
    <s v="02901 - TM - TORRES MIARI PROJETOS E PARTICIPACOES LTDA - EPP"/>
    <m/>
    <x v="21"/>
    <d v="2024-06-12T00:00:00"/>
    <x v="0"/>
    <m/>
  </r>
  <r>
    <x v="10"/>
    <n v="2876377"/>
    <x v="1"/>
    <x v="23"/>
    <s v="Integrador Fluig"/>
    <s v="04/06/2024"/>
    <s v="13/06/2024"/>
    <m/>
    <s v="Analise do Fiscal"/>
    <m/>
    <m/>
    <s v="02901 - TM - TORRES MIARI PROJETOS E PARTICIPACOES LTDA - EPP"/>
    <m/>
    <x v="21"/>
    <d v="2024-06-12T00:00:00"/>
    <x v="0"/>
    <m/>
  </r>
  <r>
    <x v="10"/>
    <n v="2876399"/>
    <x v="1"/>
    <x v="23"/>
    <s v="Integrador Fluig"/>
    <s v="04/06/2024"/>
    <s v="13/06/2024"/>
    <m/>
    <s v="Analise do Fiscal"/>
    <m/>
    <m/>
    <s v="02901 - TM - TORRES MIARI PROJETOS E PARTICIPACOES LTDA - EPP"/>
    <m/>
    <x v="21"/>
    <d v="2024-06-12T00:00:00"/>
    <x v="0"/>
    <m/>
  </r>
  <r>
    <x v="10"/>
    <n v="2876591"/>
    <x v="1"/>
    <x v="23"/>
    <s v="Integrador Fluig"/>
    <s v="04/06/2024"/>
    <s v="13/06/2024"/>
    <m/>
    <s v="Analise do Fiscal"/>
    <m/>
    <m/>
    <s v="03001 - MRB EXPRESS EIRELI"/>
    <m/>
    <x v="21"/>
    <d v="2024-06-12T00:00:00"/>
    <x v="0"/>
    <m/>
  </r>
  <r>
    <x v="10"/>
    <n v="2876597"/>
    <x v="1"/>
    <x v="23"/>
    <s v="Integrador Fluig"/>
    <s v="04/06/2024"/>
    <s v="13/06/2024"/>
    <m/>
    <s v="Analise do Fiscal"/>
    <m/>
    <m/>
    <s v="08001 - MRB EXPRESS EIRELI"/>
    <m/>
    <x v="21"/>
    <d v="2024-06-12T00:00:00"/>
    <x v="0"/>
    <m/>
  </r>
  <r>
    <x v="10"/>
    <n v="2876620"/>
    <x v="1"/>
    <x v="23"/>
    <s v="Integrador Fluig"/>
    <s v="04/06/2024"/>
    <s v="13/06/2024"/>
    <m/>
    <s v="Analise do Fiscal"/>
    <m/>
    <m/>
    <s v="08601 - MRB EXPRESS EIRELI"/>
    <m/>
    <x v="21"/>
    <d v="2024-06-12T00:00:00"/>
    <x v="0"/>
    <m/>
  </r>
  <r>
    <x v="10"/>
    <n v="2877498"/>
    <x v="1"/>
    <x v="23"/>
    <s v="Integrador Fluig"/>
    <s v="05/06/2024"/>
    <s v="13/06/2024"/>
    <m/>
    <s v="Analise do Fiscal"/>
    <m/>
    <m/>
    <s v="04907 - MRB EXPRESS EIRELI"/>
    <m/>
    <x v="21"/>
    <d v="2024-06-12T00:00:00"/>
    <x v="0"/>
    <m/>
  </r>
  <r>
    <x v="10"/>
    <n v="2877722"/>
    <x v="1"/>
    <x v="23"/>
    <s v="Integrador Fluig"/>
    <s v="05/06/2024"/>
    <s v="13/06/2024"/>
    <m/>
    <s v="Analise do Fiscal"/>
    <m/>
    <m/>
    <s v="01001 - GARAGE IN ESTACIONAMENTOS LTDA"/>
    <m/>
    <x v="21"/>
    <d v="2024-06-12T00:00:00"/>
    <x v="0"/>
    <m/>
  </r>
  <r>
    <x v="10"/>
    <n v="2878121"/>
    <x v="1"/>
    <x v="23"/>
    <s v="Integrador Fluig"/>
    <s v="05/06/2024"/>
    <s v="13/06/2024"/>
    <m/>
    <s v="Analise do Fiscal"/>
    <m/>
    <m/>
    <s v="04601 - MRB EXPRESS EIRELI"/>
    <m/>
    <x v="21"/>
    <d v="2024-06-12T00:00:00"/>
    <x v="0"/>
    <m/>
  </r>
  <r>
    <x v="10"/>
    <n v="2878242"/>
    <x v="1"/>
    <x v="23"/>
    <s v="Integrador Fluig"/>
    <s v="05/06/2024"/>
    <s v="13/06/2024"/>
    <m/>
    <s v="Analise do Fiscal"/>
    <m/>
    <m/>
    <s v="01001 - MRB EXPRESS EIRELI"/>
    <m/>
    <x v="21"/>
    <d v="2024-06-12T00:00:00"/>
    <x v="0"/>
    <m/>
  </r>
  <r>
    <x v="10"/>
    <n v="2878311"/>
    <x v="1"/>
    <x v="23"/>
    <s v="Integrador Fluig"/>
    <s v="05/06/2024"/>
    <s v="13/06/2024"/>
    <m/>
    <s v="Analise do Fiscal"/>
    <m/>
    <m/>
    <s v="01001 - MRB EXPRESS EIRELI"/>
    <m/>
    <x v="21"/>
    <d v="2024-06-12T00:00:00"/>
    <x v="0"/>
    <m/>
  </r>
  <r>
    <x v="10"/>
    <n v="2878764"/>
    <x v="1"/>
    <x v="23"/>
    <s v="Integrador Fluig"/>
    <s v="05/06/2024"/>
    <s v="13/06/2024"/>
    <m/>
    <s v="Analise do Fiscal"/>
    <m/>
    <m/>
    <s v="04601 - MRB EXPRESS EIRELI"/>
    <m/>
    <x v="21"/>
    <d v="2024-06-12T00:00:00"/>
    <x v="0"/>
    <m/>
  </r>
  <r>
    <x v="10"/>
    <n v="2879655"/>
    <x v="1"/>
    <x v="23"/>
    <s v="Integrador Fluig"/>
    <s v="05/06/2024"/>
    <s v="13/06/2024"/>
    <m/>
    <s v="Analise do Fiscal"/>
    <m/>
    <m/>
    <s v="00101 - VCH - IMPORTADORA, EXPORTADORA E DISTRIBUICAO DE PRODUTOS LTDA"/>
    <m/>
    <x v="21"/>
    <d v="2024-06-12T00:00:00"/>
    <x v="0"/>
    <m/>
  </r>
  <r>
    <x v="10"/>
    <n v="2879760"/>
    <x v="1"/>
    <x v="23"/>
    <s v="Integrador Fluig"/>
    <s v="06/06/2024"/>
    <s v="13/06/2024"/>
    <m/>
    <s v="Analise do Fiscal"/>
    <m/>
    <m/>
    <s v="07401 - PANPHARMA DISTRIBUIDORA DE MEDICAMENTOS LTDA"/>
    <m/>
    <x v="21"/>
    <d v="2024-06-12T00:00:00"/>
    <x v="0"/>
    <m/>
  </r>
  <r>
    <x v="10"/>
    <n v="2881862"/>
    <x v="1"/>
    <x v="23"/>
    <s v="Integrador Fluig"/>
    <s v="06/06/2024"/>
    <s v="13/06/2024"/>
    <m/>
    <s v="Analise do Fiscal"/>
    <m/>
    <m/>
    <s v="04901 - DE PAULA GRAFICA DIGITAL LTDA."/>
    <m/>
    <x v="21"/>
    <d v="2024-06-12T00:00:00"/>
    <x v="0"/>
    <m/>
  </r>
  <r>
    <x v="10"/>
    <n v="2882595"/>
    <x v="1"/>
    <x v="23"/>
    <s v="Integrador Fluig"/>
    <s v="06/06/2024"/>
    <s v="13/06/2024"/>
    <m/>
    <s v="Analise do Fiscal"/>
    <m/>
    <m/>
    <s v="00101 - CONSORCIO OTIMO DE BILHETAGEM ELETRONICA"/>
    <m/>
    <x v="21"/>
    <d v="2024-06-12T00:00:00"/>
    <x v="0"/>
    <m/>
  </r>
  <r>
    <x v="10"/>
    <n v="2882623"/>
    <x v="1"/>
    <x v="23"/>
    <s v="Integrador Fluig"/>
    <s v="06/06/2024"/>
    <s v="13/06/2024"/>
    <m/>
    <s v="Analise do Fiscal"/>
    <m/>
    <m/>
    <s v="00101 - CONSORCIO OTIMO DE BILHETAGEM ELETRONICA"/>
    <m/>
    <x v="21"/>
    <d v="2024-06-12T00:00:00"/>
    <x v="0"/>
    <m/>
  </r>
  <r>
    <x v="10"/>
    <n v="2883244"/>
    <x v="1"/>
    <x v="23"/>
    <s v="Integrador Fluig"/>
    <s v="07/06/2024"/>
    <s v="13/06/2024"/>
    <m/>
    <s v="Analise do Fiscal"/>
    <m/>
    <m/>
    <s v="00101 - ROBERT HALF TRABALHO TEMPORARIO LTDA."/>
    <m/>
    <x v="21"/>
    <d v="2024-06-12T00:00:00"/>
    <x v="0"/>
    <m/>
  </r>
  <r>
    <x v="10"/>
    <n v="2883697"/>
    <x v="1"/>
    <x v="23"/>
    <s v="Integrador Fluig"/>
    <s v="07/06/2024"/>
    <s v="13/06/2024"/>
    <m/>
    <s v="Analise do Fiscal"/>
    <m/>
    <m/>
    <s v="06201 - INSTITUTO QUALISA DE GESTAO LTDA"/>
    <m/>
    <x v="21"/>
    <d v="2024-06-12T00:00:00"/>
    <x v="0"/>
    <m/>
  </r>
  <r>
    <x v="10"/>
    <n v="2884684"/>
    <x v="1"/>
    <x v="23"/>
    <s v="Integrador Fluig"/>
    <s v="07/06/2024"/>
    <s v="13/06/2024"/>
    <m/>
    <s v="Analise do Fiscal"/>
    <m/>
    <m/>
    <s v="07101 - L M DE SOUZA INSTRUMENTOS HOSPITALARES"/>
    <m/>
    <x v="21"/>
    <d v="2024-06-12T00:00:00"/>
    <x v="0"/>
    <m/>
  </r>
  <r>
    <x v="10"/>
    <n v="2884727"/>
    <x v="1"/>
    <x v="23"/>
    <s v="Integrador Fluig"/>
    <s v="07/06/2024"/>
    <d v="2024-11-06T00:00:00"/>
    <m/>
    <s v="Analise do Fiscal"/>
    <m/>
    <m/>
    <s v="08101 - LF RADIOTERAPIA LTDA"/>
    <m/>
    <x v="43"/>
    <d v="2024-06-12T00:00:00"/>
    <x v="0"/>
    <m/>
  </r>
  <r>
    <x v="10"/>
    <n v="2885128"/>
    <x v="1"/>
    <x v="23"/>
    <s v="Integrador Fluig"/>
    <s v="07/06/2024"/>
    <d v="2024-12-06T00:00:00"/>
    <m/>
    <s v="Analise do Fiscal"/>
    <m/>
    <m/>
    <s v="04301 - CALL PARK ESTACIONAMENTO LTDA"/>
    <m/>
    <x v="44"/>
    <d v="2024-06-12T00:00:00"/>
    <x v="0"/>
    <m/>
  </r>
  <r>
    <x v="10"/>
    <n v="2885817"/>
    <x v="1"/>
    <x v="23"/>
    <s v="Integrador Fluig"/>
    <s v="07/06/2024"/>
    <d v="2024-12-06T00:00:00"/>
    <m/>
    <s v="Analise do Fiscal"/>
    <m/>
    <m/>
    <s v="09001 - MACACOS DESENVOLVIMENTO E DESIGN LTDA"/>
    <m/>
    <x v="44"/>
    <d v="2024-06-12T00:00:00"/>
    <x v="0"/>
    <m/>
  </r>
  <r>
    <x v="10"/>
    <n v="2885860"/>
    <x v="1"/>
    <x v="23"/>
    <s v="Integrador Fluig"/>
    <s v="07/06/2024"/>
    <d v="2024-12-06T00:00:00"/>
    <m/>
    <s v="Analise do Fiscal"/>
    <m/>
    <m/>
    <s v="04801 - IRON MOUNTAIN DO BRASIL LTDA"/>
    <m/>
    <x v="44"/>
    <d v="2024-06-12T00:00:00"/>
    <x v="0"/>
    <m/>
  </r>
  <r>
    <x v="10"/>
    <n v="2885861"/>
    <x v="1"/>
    <x v="23"/>
    <s v="Integrador Fluig"/>
    <s v="07/06/2024"/>
    <s v="13/06/2024"/>
    <m/>
    <s v="Analise do Fiscal"/>
    <m/>
    <m/>
    <s v="00104 - LELO PARK ESTACIONAMENTOS EIRELI"/>
    <m/>
    <x v="21"/>
    <d v="2024-06-12T00:00:00"/>
    <x v="0"/>
    <m/>
  </r>
  <r>
    <x v="10"/>
    <n v="2885862"/>
    <x v="1"/>
    <x v="23"/>
    <s v="Integrador Fluig"/>
    <s v="07/06/2024"/>
    <s v="13/06/2024"/>
    <m/>
    <s v="Analise do Fiscal"/>
    <m/>
    <m/>
    <s v="09001 - MACACOS DESENVOLVIMENTO E DESIGN LTDA"/>
    <m/>
    <x v="21"/>
    <d v="2024-06-12T00:00:00"/>
    <x v="0"/>
    <m/>
  </r>
  <r>
    <x v="10"/>
    <n v="2886134"/>
    <x v="1"/>
    <x v="23"/>
    <s v="Integrador Fluig"/>
    <s v="07/06/2024"/>
    <s v="13/06/2024"/>
    <m/>
    <s v="Analise do Fiscal"/>
    <m/>
    <m/>
    <s v="00104 - VIZIOMED SUPORTE EM TECNOLOGIA E SOLUCOES INTELIGENTES LTDA"/>
    <m/>
    <x v="21"/>
    <d v="2024-06-12T00:00:00"/>
    <x v="0"/>
    <m/>
  </r>
  <r>
    <x v="10"/>
    <n v="2886357"/>
    <x v="1"/>
    <x v="23"/>
    <s v="Integrador Fluig"/>
    <s v="07/06/2024"/>
    <s v="13/06/2024"/>
    <m/>
    <s v="Analise do Fiscal"/>
    <m/>
    <m/>
    <s v="00104 - VIZIOMED SUPORTE EM TECNOLOGIA E SOLUCOES INTELIGENTES LTDA"/>
    <m/>
    <x v="21"/>
    <d v="2024-06-12T00:00:00"/>
    <x v="0"/>
    <m/>
  </r>
  <r>
    <x v="10"/>
    <n v="2886587"/>
    <x v="1"/>
    <x v="23"/>
    <s v="Integrador Fluig"/>
    <s v="07/06/2024"/>
    <d v="2024-12-06T00:00:00"/>
    <m/>
    <s v="Analise do Fiscal"/>
    <m/>
    <m/>
    <s v="01501 - CIL COMERCIO DE INFORMATICA LTDA"/>
    <m/>
    <x v="44"/>
    <d v="2024-06-12T00:00:00"/>
    <x v="0"/>
    <m/>
  </r>
  <r>
    <x v="10"/>
    <n v="2886595"/>
    <x v="1"/>
    <x v="23"/>
    <s v="Integrador Fluig"/>
    <s v="07/06/2024"/>
    <d v="2024-12-06T00:00:00"/>
    <m/>
    <s v="Analise do Fiscal"/>
    <m/>
    <m/>
    <s v="04601 - MAGICPRINT GRAFICA LTDA"/>
    <m/>
    <x v="44"/>
    <d v="2024-06-12T00:00:00"/>
    <x v="0"/>
    <m/>
  </r>
  <r>
    <x v="10"/>
    <n v="2886596"/>
    <x v="1"/>
    <x v="23"/>
    <s v="Integrador Fluig"/>
    <s v="07/06/2024"/>
    <d v="2024-12-06T00:00:00"/>
    <m/>
    <s v="Analise do Fiscal"/>
    <m/>
    <m/>
    <s v="04601 - CASA DO CONSTRUTOR MATERIAIS DE CONSTRUCAO LTDA"/>
    <m/>
    <x v="44"/>
    <d v="2024-06-12T00:00:00"/>
    <x v="0"/>
    <m/>
  </r>
  <r>
    <x v="10"/>
    <n v="2886597"/>
    <x v="1"/>
    <x v="23"/>
    <s v="Integrador Fluig"/>
    <s v="07/06/2024"/>
    <d v="2024-12-06T00:00:00"/>
    <m/>
    <s v="Analise do Fiscal"/>
    <m/>
    <m/>
    <s v="02702 - LAB IMPORT - IMPORTACAO E EXPORTACAO DE EQUIPAMENTOS LTDA"/>
    <m/>
    <x v="44"/>
    <d v="2024-06-12T00:00:00"/>
    <x v="0"/>
    <m/>
  </r>
  <r>
    <x v="10"/>
    <n v="2886601"/>
    <x v="1"/>
    <x v="23"/>
    <s v="Integrador Fluig"/>
    <s v="07/06/2024"/>
    <d v="2024-11-06T00:00:00"/>
    <m/>
    <s v="Analise do Fiscal"/>
    <m/>
    <m/>
    <s v="04901 - CASCOL COMBUSTIVEIS PARA VEICULOS LTDA"/>
    <m/>
    <x v="43"/>
    <d v="2024-06-12T00:00:00"/>
    <x v="0"/>
    <m/>
  </r>
  <r>
    <x v="10"/>
    <n v="2886605"/>
    <x v="1"/>
    <x v="23"/>
    <s v="Integrador Fluig"/>
    <s v="07/06/2024"/>
    <s v="13/06/2024"/>
    <m/>
    <s v="Analise do Fiscal"/>
    <m/>
    <m/>
    <s v="00105 - SAINT CLAIRE IND E COMERCIO LTDA - EPP"/>
    <m/>
    <x v="21"/>
    <d v="2024-06-12T00:00:00"/>
    <x v="0"/>
    <m/>
  </r>
  <r>
    <x v="10"/>
    <n v="2886611"/>
    <x v="1"/>
    <x v="23"/>
    <s v="Integrador Fluig"/>
    <s v="07/06/2024"/>
    <d v="2024-12-06T00:00:00"/>
    <m/>
    <s v="Analise do Fiscal"/>
    <m/>
    <m/>
    <s v="04801 - BRS SP SUPRIMENTOS CORPORATIVOS S/A"/>
    <m/>
    <x v="44"/>
    <d v="2024-06-12T00:00:00"/>
    <x v="0"/>
    <m/>
  </r>
  <r>
    <x v="10"/>
    <n v="2886632"/>
    <x v="1"/>
    <x v="23"/>
    <s v="Integrador Fluig"/>
    <s v="07/06/2024"/>
    <d v="2024-12-06T00:00:00"/>
    <m/>
    <s v="Analise do Fiscal"/>
    <m/>
    <m/>
    <s v="02701 - OXIMIL OXIGENIO MINAS GERAIS LTDA"/>
    <m/>
    <x v="44"/>
    <d v="2024-06-12T00:00:00"/>
    <x v="0"/>
    <m/>
  </r>
  <r>
    <x v="10"/>
    <n v="2886635"/>
    <x v="1"/>
    <x v="23"/>
    <s v="Integrador Fluig"/>
    <s v="07/06/2024"/>
    <s v="13/06/2024"/>
    <m/>
    <s v="Analise do Fiscal"/>
    <m/>
    <m/>
    <s v="00105 - SAINT CLAIRE IND E COMERCIO LTDA - EPP"/>
    <m/>
    <x v="21"/>
    <d v="2024-06-12T00:00:00"/>
    <x v="0"/>
    <m/>
  </r>
  <r>
    <x v="10"/>
    <n v="2886645"/>
    <x v="1"/>
    <x v="23"/>
    <s v="Integrador Fluig"/>
    <s v="07/06/2024"/>
    <d v="2024-12-06T00:00:00"/>
    <m/>
    <s v="Analise do Fiscal"/>
    <m/>
    <m/>
    <s v="04801 - BRS SP SUPRIMENTOS CORPORATIVOS S/A"/>
    <m/>
    <x v="44"/>
    <d v="2024-06-12T00:00:00"/>
    <x v="0"/>
    <m/>
  </r>
  <r>
    <x v="10"/>
    <n v="2886649"/>
    <x v="1"/>
    <x v="23"/>
    <s v="Integrador Fluig"/>
    <s v="07/06/2024"/>
    <s v="13/06/2024"/>
    <m/>
    <s v="Analise do Fiscal"/>
    <m/>
    <m/>
    <s v="08601 - ESPACO CYBER INFORMATICA E INTERNET LTDA"/>
    <m/>
    <x v="21"/>
    <d v="2024-06-12T00:00:00"/>
    <x v="0"/>
    <m/>
  </r>
  <r>
    <x v="10"/>
    <n v="2886650"/>
    <x v="1"/>
    <x v="23"/>
    <s v="Integrador Fluig"/>
    <s v="07/06/2024"/>
    <s v="13/06/2024"/>
    <m/>
    <s v="Analise do Fiscal"/>
    <m/>
    <m/>
    <s v="08601 - TIGRE COMERCIO DE GENEROS ALIMENTICIOS LTDA"/>
    <m/>
    <x v="21"/>
    <d v="2024-06-12T00:00:00"/>
    <x v="0"/>
    <m/>
  </r>
  <r>
    <x v="10"/>
    <n v="2886659"/>
    <x v="1"/>
    <x v="23"/>
    <s v="Integrador Fluig"/>
    <s v="07/06/2024"/>
    <d v="2024-11-06T00:00:00"/>
    <m/>
    <s v="Analise do Fiscal"/>
    <m/>
    <m/>
    <s v="04901 - CASCOL COMBUSTIVEIS PARA VEICULOS LTDA"/>
    <m/>
    <x v="43"/>
    <d v="2024-06-12T00:00:00"/>
    <x v="0"/>
    <m/>
  </r>
  <r>
    <x v="10"/>
    <n v="2886666"/>
    <x v="1"/>
    <x v="23"/>
    <s v="Integrador Fluig"/>
    <s v="07/06/2024"/>
    <s v="13/06/2024"/>
    <m/>
    <s v="Analise do Fiscal"/>
    <m/>
    <m/>
    <s v="08601 - TIGRE COMERCIO DE GENEROS ALIMENTICIOS LTDA"/>
    <m/>
    <x v="21"/>
    <d v="2024-06-12T00:00:00"/>
    <x v="0"/>
    <m/>
  </r>
  <r>
    <x v="10"/>
    <n v="2886667"/>
    <x v="1"/>
    <x v="23"/>
    <s v="Integrador Fluig"/>
    <s v="07/06/2024"/>
    <s v="13/06/2024"/>
    <m/>
    <s v="Analise do Fiscal"/>
    <m/>
    <m/>
    <s v="09701 - ATACADO SAO PAULO LTDA"/>
    <m/>
    <x v="21"/>
    <d v="2024-06-12T00:00:00"/>
    <x v="0"/>
    <m/>
  </r>
  <r>
    <x v="10"/>
    <n v="2886682"/>
    <x v="1"/>
    <x v="23"/>
    <s v="Integrador Fluig"/>
    <s v="08/06/2024"/>
    <d v="2024-11-06T00:00:00"/>
    <m/>
    <s v="Analise do Fiscal"/>
    <m/>
    <m/>
    <s v="12201 - IBF - INDUSTRIA BRASILEIRA DE FARMOQUIMICOS S.A."/>
    <m/>
    <x v="43"/>
    <d v="2024-06-12T00:00:00"/>
    <x v="0"/>
    <m/>
  </r>
  <r>
    <x v="10"/>
    <n v="2886689"/>
    <x v="1"/>
    <x v="23"/>
    <s v="Integrador Fluig"/>
    <s v="08/06/2024"/>
    <d v="2024-11-06T00:00:00"/>
    <m/>
    <s v="Analise do Fiscal"/>
    <m/>
    <m/>
    <s v="10001 - G2F COMERCIO DE PRODUTOS DE HIGIENE E LIMPEZA LTDA - ME"/>
    <m/>
    <x v="43"/>
    <d v="2024-06-12T00:00:00"/>
    <x v="0"/>
    <m/>
  </r>
  <r>
    <x v="10"/>
    <n v="2886690"/>
    <x v="1"/>
    <x v="23"/>
    <s v="Integrador Fluig"/>
    <s v="08/06/2024"/>
    <d v="2024-11-06T00:00:00"/>
    <m/>
    <s v="Analise do Fiscal"/>
    <m/>
    <m/>
    <s v="12201 - IBF - INDUSTRIA BRASILEIRA DE FARMOQUIMICOS S.A."/>
    <m/>
    <x v="43"/>
    <d v="2024-06-12T00:00:00"/>
    <x v="0"/>
    <m/>
  </r>
  <r>
    <x v="10"/>
    <n v="2886692"/>
    <x v="1"/>
    <x v="23"/>
    <s v="Integrador Fluig"/>
    <s v="08/06/2024"/>
    <d v="2024-12-06T00:00:00"/>
    <m/>
    <s v="Analise do Fiscal"/>
    <m/>
    <m/>
    <s v="09601 - SUZANO S.A."/>
    <m/>
    <x v="44"/>
    <d v="2024-06-12T00:00:00"/>
    <x v="0"/>
    <m/>
  </r>
  <r>
    <x v="10"/>
    <n v="2886694"/>
    <x v="1"/>
    <x v="23"/>
    <s v="Integrador Fluig"/>
    <s v="08/06/2024"/>
    <d v="2024-11-06T00:00:00"/>
    <m/>
    <s v="Analise do Fiscal"/>
    <m/>
    <m/>
    <s v="10001 - G2F COMERCIO DE PRODUTOS DE HIGIENE E LIMPEZA LTDA - ME"/>
    <m/>
    <x v="43"/>
    <d v="2024-06-12T00:00:00"/>
    <x v="0"/>
    <m/>
  </r>
  <r>
    <x v="10"/>
    <n v="2886696"/>
    <x v="1"/>
    <x v="23"/>
    <s v="Integrador Fluig"/>
    <s v="08/06/2024"/>
    <d v="2024-12-06T00:00:00"/>
    <m/>
    <s v="Analise do Fiscal"/>
    <m/>
    <m/>
    <s v="09601 - SUZANO S.A."/>
    <m/>
    <x v="44"/>
    <d v="2024-06-12T00:00:00"/>
    <x v="0"/>
    <m/>
  </r>
  <r>
    <x v="10"/>
    <n v="2886697"/>
    <x v="1"/>
    <x v="23"/>
    <s v="Integrador Fluig"/>
    <s v="08/06/2024"/>
    <d v="2024-11-06T00:00:00"/>
    <m/>
    <s v="Analise do Fiscal"/>
    <m/>
    <m/>
    <s v="10001 - G2F COMERCIO DE PRODUTOS DE HIGIENE E LIMPEZA LTDA - ME"/>
    <m/>
    <x v="43"/>
    <d v="2024-06-12T00:00:00"/>
    <x v="0"/>
    <m/>
  </r>
  <r>
    <x v="10"/>
    <n v="2886698"/>
    <x v="1"/>
    <x v="23"/>
    <s v="Integrador Fluig"/>
    <s v="08/06/2024"/>
    <d v="2024-12-06T00:00:00"/>
    <m/>
    <s v="Analise do Fiscal"/>
    <m/>
    <m/>
    <s v="09601 - SUZANO S.A."/>
    <m/>
    <x v="44"/>
    <d v="2024-06-12T00:00:00"/>
    <x v="0"/>
    <m/>
  </r>
  <r>
    <x v="10"/>
    <n v="2886699"/>
    <x v="1"/>
    <x v="23"/>
    <s v="Integrador Fluig"/>
    <s v="08/06/2024"/>
    <d v="2024-11-06T00:00:00"/>
    <m/>
    <s v="Analise do Fiscal"/>
    <m/>
    <m/>
    <s v="12201 - IBF - INDUSTRIA BRASILEIRA DE FARMOQUIMICOS S.A."/>
    <m/>
    <x v="43"/>
    <d v="2024-06-12T00:00:00"/>
    <x v="0"/>
    <m/>
  </r>
  <r>
    <x v="10"/>
    <n v="2886701"/>
    <x v="1"/>
    <x v="23"/>
    <s v="Integrador Fluig"/>
    <s v="08/06/2024"/>
    <d v="2024-12-06T00:00:00"/>
    <m/>
    <s v="Analise do Fiscal"/>
    <m/>
    <m/>
    <s v="02701 - OXIMIL OXIGENIO MINAS GERAIS LTDA"/>
    <m/>
    <x v="44"/>
    <d v="2024-06-12T00:00:00"/>
    <x v="0"/>
    <m/>
  </r>
  <r>
    <x v="10"/>
    <n v="2886702"/>
    <x v="1"/>
    <x v="23"/>
    <s v="Integrador Fluig"/>
    <s v="08/06/2024"/>
    <d v="2024-11-06T00:00:00"/>
    <m/>
    <s v="Analise do Fiscal"/>
    <m/>
    <m/>
    <s v="10001 - G2F COMERCIO DE PRODUTOS DE HIGIENE E LIMPEZA LTDA - ME"/>
    <m/>
    <x v="43"/>
    <d v="2024-06-12T00:00:00"/>
    <x v="0"/>
    <m/>
  </r>
  <r>
    <x v="10"/>
    <n v="2886791"/>
    <x v="1"/>
    <x v="23"/>
    <s v="Integrador Fluig"/>
    <s v="08/06/2024"/>
    <d v="2024-12-06T00:00:00"/>
    <m/>
    <s v="Analise do Fiscal"/>
    <m/>
    <m/>
    <s v="07602 - MN PROJETOS E CONSULTORIAS LTDA"/>
    <m/>
    <x v="44"/>
    <d v="2024-06-12T00:00:00"/>
    <x v="0"/>
    <m/>
  </r>
  <r>
    <x v="10"/>
    <n v="2886792"/>
    <x v="1"/>
    <x v="23"/>
    <s v="Integrador Fluig"/>
    <s v="08/06/2024"/>
    <d v="2024-12-06T00:00:00"/>
    <m/>
    <s v="Analise do Fiscal"/>
    <m/>
    <m/>
    <s v="07602 - MN PROJETOS E CONSULTORIAS LTDA"/>
    <m/>
    <x v="44"/>
    <d v="2024-06-12T00:00:00"/>
    <x v="0"/>
    <m/>
  </r>
  <r>
    <x v="10"/>
    <n v="2886795"/>
    <x v="1"/>
    <x v="23"/>
    <s v="Integrador Fluig"/>
    <s v="08/06/2024"/>
    <d v="2024-12-06T00:00:00"/>
    <m/>
    <s v="Analise do Fiscal"/>
    <m/>
    <m/>
    <s v="09601 - SUZANO S.A."/>
    <m/>
    <x v="44"/>
    <d v="2024-06-12T00:00:00"/>
    <x v="0"/>
    <m/>
  </r>
  <r>
    <x v="10"/>
    <n v="2887438"/>
    <x v="1"/>
    <x v="23"/>
    <s v="Integrador Fluig"/>
    <s v="09/06/2024"/>
    <d v="2024-12-06T00:00:00"/>
    <m/>
    <s v="Analise do Fiscal"/>
    <m/>
    <m/>
    <s v="02101 - CLEDIMILSON PEREIRA DA SILVA 56914253404"/>
    <m/>
    <x v="44"/>
    <d v="2024-06-12T00:00:00"/>
    <x v="0"/>
    <m/>
  </r>
  <r>
    <x v="10"/>
    <n v="2887559"/>
    <x v="1"/>
    <x v="23"/>
    <s v="Integrador Fluig"/>
    <s v="10/06/2024"/>
    <s v="13/06/2024"/>
    <m/>
    <s v="Analise do Fiscal"/>
    <m/>
    <m/>
    <s v="10301 - IURY DA SILVA MAGESKY 11714035778"/>
    <m/>
    <x v="21"/>
    <d v="2024-06-12T00:00:00"/>
    <x v="0"/>
    <m/>
  </r>
  <r>
    <x v="10"/>
    <n v="2887560"/>
    <x v="1"/>
    <x v="23"/>
    <s v="Integrador Fluig"/>
    <s v="10/06/2024"/>
    <s v="13/06/2024"/>
    <m/>
    <s v="Analise do Fiscal"/>
    <m/>
    <m/>
    <s v="10301 - IURY DA SILVA MAGESKY 11714035778"/>
    <m/>
    <x v="21"/>
    <d v="2024-06-12T00:00:00"/>
    <x v="0"/>
    <m/>
  </r>
  <r>
    <x v="10"/>
    <n v="2887561"/>
    <x v="1"/>
    <x v="23"/>
    <s v="Integrador Fluig"/>
    <s v="10/06/2024"/>
    <s v="13/06/2024"/>
    <m/>
    <s v="Analise do Fiscal"/>
    <m/>
    <m/>
    <s v="10301 - IURY DA SILVA MAGESKY 11714035778"/>
    <m/>
    <x v="21"/>
    <d v="2024-06-12T00:00:00"/>
    <x v="0"/>
    <m/>
  </r>
  <r>
    <x v="10"/>
    <n v="2887562"/>
    <x v="1"/>
    <x v="23"/>
    <s v="Integrador Fluig"/>
    <s v="10/06/2024"/>
    <s v="13/06/2024"/>
    <m/>
    <s v="Analise do Fiscal"/>
    <m/>
    <m/>
    <s v="10301 - IURY DA SILVA MAGESKY 11714035778"/>
    <m/>
    <x v="21"/>
    <d v="2024-06-12T00:00:00"/>
    <x v="0"/>
    <m/>
  </r>
  <r>
    <x v="10"/>
    <n v="2887563"/>
    <x v="1"/>
    <x v="23"/>
    <s v="Integrador Fluig"/>
    <s v="10/06/2024"/>
    <s v="13/06/2024"/>
    <m/>
    <s v="Analise do Fiscal"/>
    <m/>
    <m/>
    <s v="10301 - IURY DA SILVA MAGESKY 11714035778"/>
    <m/>
    <x v="21"/>
    <d v="2024-06-12T00:00:00"/>
    <x v="0"/>
    <m/>
  </r>
  <r>
    <x v="10"/>
    <n v="2887564"/>
    <x v="1"/>
    <x v="23"/>
    <s v="Integrador Fluig"/>
    <s v="10/06/2024"/>
    <s v="13/06/2024"/>
    <m/>
    <s v="Analise do Fiscal"/>
    <m/>
    <m/>
    <s v="10301 - IURY DA SILVA MAGESKY 11714035778"/>
    <m/>
    <x v="21"/>
    <d v="2024-06-12T00:00:00"/>
    <x v="0"/>
    <m/>
  </r>
  <r>
    <x v="10"/>
    <n v="2887565"/>
    <x v="1"/>
    <x v="23"/>
    <s v="Integrador Fluig"/>
    <s v="10/06/2024"/>
    <s v="13/06/2024"/>
    <m/>
    <s v="Analise do Fiscal"/>
    <m/>
    <m/>
    <s v="10301 - IURY DA SILVA MAGESKY 11714035778"/>
    <m/>
    <x v="21"/>
    <d v="2024-06-12T00:00:00"/>
    <x v="0"/>
    <m/>
  </r>
  <r>
    <x v="10"/>
    <n v="2887567"/>
    <x v="1"/>
    <x v="23"/>
    <s v="Integrador Fluig"/>
    <s v="10/06/2024"/>
    <s v="13/06/2024"/>
    <m/>
    <s v="Analise do Fiscal"/>
    <m/>
    <m/>
    <s v="10301 - IURY DA SILVA MAGESKY 11714035778"/>
    <m/>
    <x v="21"/>
    <d v="2024-06-12T00:00:00"/>
    <x v="0"/>
    <m/>
  </r>
  <r>
    <x v="10"/>
    <n v="2887681"/>
    <x v="1"/>
    <x v="23"/>
    <s v="Integrador Fluig"/>
    <s v="10/06/2024"/>
    <s v="13/06/2024"/>
    <m/>
    <s v="Analise do Fiscal"/>
    <m/>
    <m/>
    <s v="08601 - MACACOS DESENVOLVIMENTO E DESIGN LTDA"/>
    <m/>
    <x v="21"/>
    <d v="2024-06-12T00:00:00"/>
    <x v="0"/>
    <m/>
  </r>
  <r>
    <x v="10"/>
    <n v="2887843"/>
    <x v="1"/>
    <x v="23"/>
    <s v="Integrador Fluig"/>
    <s v="10/06/2024"/>
    <d v="2024-12-06T00:00:00"/>
    <m/>
    <s v="Analise do Fiscal"/>
    <m/>
    <m/>
    <s v="07101 - ONI SAUDE LTDA"/>
    <m/>
    <x v="44"/>
    <d v="2024-06-12T00:00:00"/>
    <x v="0"/>
    <m/>
  </r>
  <r>
    <x v="10"/>
    <n v="2888122"/>
    <x v="1"/>
    <x v="23"/>
    <s v="Integrador Fluig"/>
    <s v="10/06/2024"/>
    <d v="2024-12-06T00:00:00"/>
    <m/>
    <s v="Analise do Fiscal"/>
    <m/>
    <m/>
    <s v="10001 - VITORIA IMAGEM E DIAGNOSTICO LTDA"/>
    <m/>
    <x v="44"/>
    <d v="2024-06-12T00:00:00"/>
    <x v="0"/>
    <m/>
  </r>
  <r>
    <x v="10"/>
    <n v="2888205"/>
    <x v="1"/>
    <x v="23"/>
    <s v="Integrador Fluig"/>
    <s v="10/06/2024"/>
    <d v="2024-12-06T00:00:00"/>
    <m/>
    <s v="Analise do Fiscal"/>
    <m/>
    <m/>
    <s v="02101 - PEDRO RODRIGUES DOMINGUES DA SILVA 11310516456"/>
    <m/>
    <x v="44"/>
    <d v="2024-06-12T00:00:00"/>
    <x v="0"/>
    <m/>
  </r>
  <r>
    <x v="10"/>
    <n v="2888252"/>
    <x v="1"/>
    <x v="23"/>
    <s v="Integrador Fluig"/>
    <s v="10/06/2024"/>
    <d v="2024-12-06T00:00:00"/>
    <m/>
    <s v="Analise do Fiscal"/>
    <m/>
    <m/>
    <s v="02101 - PEDRO RODRIGUES DOMINGUES DA SILVA 11310516456"/>
    <m/>
    <x v="44"/>
    <d v="2024-06-12T00:00:00"/>
    <x v="0"/>
    <m/>
  </r>
  <r>
    <x v="10"/>
    <n v="2888278"/>
    <x v="1"/>
    <x v="23"/>
    <s v="Integrador Fluig"/>
    <s v="10/06/2024"/>
    <s v="13/06/2024"/>
    <m/>
    <s v="Analise do Fiscal"/>
    <m/>
    <m/>
    <s v="09004 - ECOLIMP SISTEMAS DE SERVICOS LTDA."/>
    <m/>
    <x v="21"/>
    <d v="2024-06-12T00:00:00"/>
    <x v="0"/>
    <m/>
  </r>
  <r>
    <x v="10"/>
    <n v="2888387"/>
    <x v="1"/>
    <x v="23"/>
    <s v="Integrador Fluig"/>
    <s v="10/06/2024"/>
    <d v="2024-12-06T00:00:00"/>
    <m/>
    <s v="Analise do Fiscal"/>
    <m/>
    <m/>
    <s v="05201 - SIDNEI ALVES ALCANTARA OLIVEIRA PLANEJAMENTO EM GESTAO"/>
    <m/>
    <x v="44"/>
    <d v="2024-06-12T00:00:00"/>
    <x v="0"/>
    <m/>
  </r>
  <r>
    <x v="10"/>
    <n v="2888405"/>
    <x v="1"/>
    <x v="23"/>
    <s v="Integrador Fluig"/>
    <s v="10/06/2024"/>
    <d v="2024-12-06T00:00:00"/>
    <m/>
    <s v="Analise do Fiscal"/>
    <m/>
    <m/>
    <s v="07201 - JULIANA ALMEIDA DE MOURA"/>
    <m/>
    <x v="44"/>
    <d v="2024-06-12T00:00:00"/>
    <x v="0"/>
    <m/>
  </r>
  <r>
    <x v="10"/>
    <n v="2888408"/>
    <x v="1"/>
    <x v="23"/>
    <s v="Integrador Fluig"/>
    <s v="10/06/2024"/>
    <d v="2024-12-06T00:00:00"/>
    <m/>
    <s v="Analise do Fiscal"/>
    <m/>
    <m/>
    <s v="00104 - LEANDRO GOMES DA SILVA 04551045659"/>
    <m/>
    <x v="44"/>
    <d v="2024-06-12T00:00:00"/>
    <x v="0"/>
    <m/>
  </r>
  <r>
    <x v="10"/>
    <n v="2888424"/>
    <x v="1"/>
    <x v="23"/>
    <s v="Integrador Fluig"/>
    <s v="10/06/2024"/>
    <d v="2024-12-06T00:00:00"/>
    <m/>
    <s v="Analise do Fiscal"/>
    <m/>
    <m/>
    <s v="00104 - LEANDRO GOMES DA SILVA 04551045659"/>
    <m/>
    <x v="44"/>
    <d v="2024-06-12T00:00:00"/>
    <x v="0"/>
    <m/>
  </r>
  <r>
    <x v="10"/>
    <n v="2888427"/>
    <x v="1"/>
    <x v="23"/>
    <s v="Integrador Fluig"/>
    <s v="10/06/2024"/>
    <s v="13/06/2024"/>
    <m/>
    <s v="Analise do Fiscal"/>
    <m/>
    <m/>
    <s v="09004 - ECOLIMP SISTEMAS DE SERVICOS LTDA."/>
    <m/>
    <x v="21"/>
    <d v="2024-06-12T00:00:00"/>
    <x v="0"/>
    <m/>
  </r>
  <r>
    <x v="10"/>
    <n v="2888442"/>
    <x v="1"/>
    <x v="23"/>
    <s v="Integrador Fluig"/>
    <s v="10/06/2024"/>
    <d v="2024-12-06T00:00:00"/>
    <m/>
    <s v="Analise do Fiscal"/>
    <m/>
    <m/>
    <s v="07401 - ASCITECH SOLUCOES EM TECNOLOGIA LTDA"/>
    <m/>
    <x v="44"/>
    <d v="2024-06-12T00:00:00"/>
    <x v="0"/>
    <m/>
  </r>
  <r>
    <x v="10"/>
    <n v="2888507"/>
    <x v="1"/>
    <x v="23"/>
    <s v="Integrador Fluig"/>
    <s v="10/06/2024"/>
    <s v="13/06/2024"/>
    <m/>
    <s v="Analise do Fiscal"/>
    <m/>
    <m/>
    <s v="07401 - 51.595.435 ROBSON LEANDRO DA SILVA GOMES"/>
    <m/>
    <x v="21"/>
    <d v="2024-06-12T00:00:00"/>
    <x v="0"/>
    <m/>
  </r>
  <r>
    <x v="10"/>
    <n v="2888511"/>
    <x v="1"/>
    <x v="23"/>
    <s v="Integrador Fluig"/>
    <s v="10/06/2024"/>
    <s v="13/06/2024"/>
    <m/>
    <s v="Analise do Fiscal"/>
    <m/>
    <m/>
    <s v="04601 - KLIN SHOP LTDA"/>
    <m/>
    <x v="21"/>
    <d v="2024-06-12T00:00:00"/>
    <x v="0"/>
    <m/>
  </r>
  <r>
    <x v="10"/>
    <n v="2888514"/>
    <x v="1"/>
    <x v="23"/>
    <s v="Integrador Fluig"/>
    <s v="10/06/2024"/>
    <s v="13/06/2024"/>
    <m/>
    <s v="Analise do Fiscal"/>
    <m/>
    <m/>
    <s v="07401 - 51.595.435 ROBSON LEANDRO DA SILVA GOMES"/>
    <m/>
    <x v="21"/>
    <d v="2024-06-12T00:00:00"/>
    <x v="0"/>
    <m/>
  </r>
  <r>
    <x v="10"/>
    <n v="2888530"/>
    <x v="1"/>
    <x v="23"/>
    <s v="Integrador Fluig"/>
    <s v="10/06/2024"/>
    <d v="2024-12-06T00:00:00"/>
    <m/>
    <s v="Analise do Fiscal"/>
    <m/>
    <m/>
    <s v="00104 - IGOR RUFINO CONSULTORIA LTDA"/>
    <m/>
    <x v="44"/>
    <d v="2024-06-12T00:00:00"/>
    <x v="0"/>
    <m/>
  </r>
  <r>
    <x v="10"/>
    <n v="2888534"/>
    <x v="1"/>
    <x v="23"/>
    <s v="Integrador Fluig"/>
    <s v="10/06/2024"/>
    <d v="2024-12-06T00:00:00"/>
    <m/>
    <s v="Analise do Fiscal"/>
    <m/>
    <m/>
    <s v="05401 - QCM INSTALACOES TECNICAS LTDA"/>
    <m/>
    <x v="44"/>
    <d v="2024-06-12T00:00:00"/>
    <x v="0"/>
    <m/>
  </r>
  <r>
    <x v="10"/>
    <n v="2888576"/>
    <x v="1"/>
    <x v="23"/>
    <s v="Integrador Fluig"/>
    <s v="10/06/2024"/>
    <d v="2024-12-06T00:00:00"/>
    <m/>
    <s v="Analise do Fiscal"/>
    <m/>
    <m/>
    <s v="01001 - ASPECT MIDIA - INDUSTRIA ELETRO - ELETRONICA, COMERCIO E SERVICOS LTDA."/>
    <m/>
    <x v="44"/>
    <d v="2024-06-12T00:00:00"/>
    <x v="0"/>
    <m/>
  </r>
  <r>
    <x v="10"/>
    <n v="2888582"/>
    <x v="1"/>
    <x v="23"/>
    <s v="Integrador Fluig"/>
    <s v="10/06/2024"/>
    <d v="2024-12-06T00:00:00"/>
    <m/>
    <s v="Analise do Fiscal"/>
    <m/>
    <m/>
    <s v="00104 - INTEGRATTO TECNOLOGIA LTDA"/>
    <m/>
    <x v="44"/>
    <d v="2024-06-12T00:00:00"/>
    <x v="0"/>
    <m/>
  </r>
  <r>
    <x v="10"/>
    <n v="2888586"/>
    <x v="1"/>
    <x v="23"/>
    <s v="Integrador Fluig"/>
    <s v="10/06/2024"/>
    <d v="2024-12-06T00:00:00"/>
    <m/>
    <s v="Analise do Fiscal"/>
    <m/>
    <m/>
    <s v="00104 - INEXPRON TECNOLOGIA E REPRESENTACAO LTDA"/>
    <m/>
    <x v="44"/>
    <d v="2024-06-12T00:00:00"/>
    <x v="0"/>
    <m/>
  </r>
  <r>
    <x v="10"/>
    <n v="2888604"/>
    <x v="1"/>
    <x v="23"/>
    <s v="Integrador Fluig"/>
    <s v="10/06/2024"/>
    <d v="2024-12-06T00:00:00"/>
    <m/>
    <s v="Analise do Fiscal"/>
    <m/>
    <m/>
    <s v="07201 - IDEIAS COMUNICACAO VISUAL LTDA"/>
    <m/>
    <x v="44"/>
    <d v="2024-06-12T00:00:00"/>
    <x v="0"/>
    <m/>
  </r>
  <r>
    <x v="10"/>
    <n v="2888611"/>
    <x v="1"/>
    <x v="23"/>
    <s v="Integrador Fluig"/>
    <s v="10/06/2024"/>
    <s v="13/06/2024"/>
    <m/>
    <s v="Analise do Fiscal"/>
    <m/>
    <m/>
    <s v="07401 - 51.595.435 ROBSON LEANDRO DA SILVA GOMES"/>
    <m/>
    <x v="21"/>
    <d v="2024-06-12T00:00:00"/>
    <x v="0"/>
    <m/>
  </r>
  <r>
    <x v="10"/>
    <n v="2888614"/>
    <x v="1"/>
    <x v="23"/>
    <s v="Integrador Fluig"/>
    <s v="10/06/2024"/>
    <d v="2024-12-06T00:00:00"/>
    <m/>
    <s v="Analise do Fiscal"/>
    <m/>
    <m/>
    <s v="00104 - EHS SERVICOS CONSULTORIA EMPRESARIAL LTDA"/>
    <m/>
    <x v="44"/>
    <d v="2024-06-12T00:00:00"/>
    <x v="0"/>
    <m/>
  </r>
  <r>
    <x v="10"/>
    <n v="2888618"/>
    <x v="1"/>
    <x v="23"/>
    <s v="Integrador Fluig"/>
    <s v="10/06/2024"/>
    <d v="2024-12-06T00:00:00"/>
    <m/>
    <s v="Analise do Fiscal"/>
    <m/>
    <m/>
    <s v="01009 - ARTIMAGE INDUSTRIA E COMERCIO LTDA"/>
    <m/>
    <x v="44"/>
    <d v="2024-06-12T00:00:00"/>
    <x v="0"/>
    <m/>
  </r>
  <r>
    <x v="10"/>
    <n v="2888636"/>
    <x v="1"/>
    <x v="23"/>
    <s v="Integrador Fluig"/>
    <s v="10/06/2024"/>
    <d v="2024-12-06T00:00:00"/>
    <m/>
    <s v="Analise do Fiscal"/>
    <m/>
    <m/>
    <s v="07401 - JULIANA JUSTINO DE SOUZA 07614477685"/>
    <m/>
    <x v="44"/>
    <d v="2024-06-12T00:00:00"/>
    <x v="0"/>
    <m/>
  </r>
  <r>
    <x v="10"/>
    <n v="2888681"/>
    <x v="1"/>
    <x v="23"/>
    <s v="Integrador Fluig"/>
    <s v="10/06/2024"/>
    <d v="2024-12-06T00:00:00"/>
    <m/>
    <s v="Analise do Fiscal"/>
    <m/>
    <m/>
    <s v="07401 - JULIANA JUSTINO DE SOUZA 07614477685"/>
    <m/>
    <x v="44"/>
    <d v="2024-06-12T00:00:00"/>
    <x v="0"/>
    <m/>
  </r>
  <r>
    <x v="10"/>
    <n v="2888683"/>
    <x v="1"/>
    <x v="23"/>
    <s v="Integrador Fluig"/>
    <s v="10/06/2024"/>
    <s v="13/06/2024"/>
    <m/>
    <s v="Analise do Fiscal"/>
    <m/>
    <m/>
    <s v="09401 - NORTE AMBIENTAL TRATAMENTO DE RESIDUOS LTDA"/>
    <m/>
    <x v="21"/>
    <d v="2024-06-12T00:00:00"/>
    <x v="0"/>
    <m/>
  </r>
  <r>
    <x v="10"/>
    <n v="2888684"/>
    <x v="1"/>
    <x v="23"/>
    <s v="Integrador Fluig"/>
    <s v="10/06/2024"/>
    <d v="2024-12-06T00:00:00"/>
    <m/>
    <s v="Analise do Fiscal"/>
    <m/>
    <m/>
    <s v="07401 - BERTOLDI E BUZATTO LTDA"/>
    <m/>
    <x v="44"/>
    <d v="2024-06-12T00:00:00"/>
    <x v="0"/>
    <m/>
  </r>
  <r>
    <x v="10"/>
    <n v="2888690"/>
    <x v="1"/>
    <x v="23"/>
    <s v="Integrador Fluig"/>
    <s v="10/06/2024"/>
    <d v="2024-12-06T00:00:00"/>
    <m/>
    <s v="Analise do Fiscal"/>
    <m/>
    <m/>
    <s v="08401 - SIEMENS HEALTHCARE DIAGNOSTICOS S.A."/>
    <m/>
    <x v="44"/>
    <d v="2024-06-12T00:00:00"/>
    <x v="0"/>
    <m/>
  </r>
  <r>
    <x v="10"/>
    <n v="2888701"/>
    <x v="1"/>
    <x v="23"/>
    <s v="Integrador Fluig"/>
    <s v="10/06/2024"/>
    <d v="2024-12-06T00:00:00"/>
    <m/>
    <s v="Analise do Fiscal"/>
    <m/>
    <m/>
    <s v="01009 - ARTIMAGE INDUSTRIA E COMERCIO LTDA"/>
    <m/>
    <x v="44"/>
    <d v="2024-06-12T00:00:00"/>
    <x v="0"/>
    <m/>
  </r>
  <r>
    <x v="10"/>
    <n v="2888711"/>
    <x v="1"/>
    <x v="23"/>
    <s v="Integrador Fluig"/>
    <s v="10/06/2024"/>
    <s v="13/06/2024"/>
    <m/>
    <s v="Analise do Fiscal"/>
    <m/>
    <m/>
    <s v="00104 - LELO PARK ESTACIONAMENTOS EIRELI"/>
    <m/>
    <x v="21"/>
    <d v="2024-06-12T00:00:00"/>
    <x v="0"/>
    <m/>
  </r>
  <r>
    <x v="10"/>
    <n v="2888972"/>
    <x v="1"/>
    <x v="23"/>
    <s v="Integrador Fluig"/>
    <s v="10/06/2024"/>
    <s v="13/06/2024"/>
    <m/>
    <s v="Analise do Fiscal"/>
    <m/>
    <m/>
    <s v="10301 - ASSOCIACAO DE ENSINO SOCIAL PROFISSIONALIZANTE"/>
    <m/>
    <x v="21"/>
    <d v="2024-06-12T00:00:00"/>
    <x v="0"/>
    <m/>
  </r>
  <r>
    <x v="10"/>
    <n v="2888992"/>
    <x v="1"/>
    <x v="23"/>
    <s v="Integrador Fluig"/>
    <s v="10/06/2024"/>
    <d v="2024-12-06T00:00:00"/>
    <m/>
    <s v="Analise do Fiscal"/>
    <m/>
    <m/>
    <s v="07501 - ASSOCIACAO DE ENSINO SOCIAL PROFISSIONALIZANTE"/>
    <m/>
    <x v="44"/>
    <d v="2024-06-12T00:00:00"/>
    <x v="0"/>
    <m/>
  </r>
  <r>
    <x v="10"/>
    <n v="2889023"/>
    <x v="1"/>
    <x v="23"/>
    <s v="Integrador Fluig"/>
    <s v="10/06/2024"/>
    <s v="13/06/2024"/>
    <m/>
    <s v="Analise do Fiscal"/>
    <m/>
    <m/>
    <s v="06201 - ASSOCIACAO DE ENSINO SOCIAL PROFISSIONALIZANTE"/>
    <m/>
    <x v="21"/>
    <d v="2024-06-12T00:00:00"/>
    <x v="0"/>
    <m/>
  </r>
  <r>
    <x v="10"/>
    <n v="2889027"/>
    <x v="1"/>
    <x v="23"/>
    <s v="Integrador Fluig"/>
    <s v="10/06/2024"/>
    <s v="13/06/2024"/>
    <m/>
    <s v="Analise do Fiscal"/>
    <m/>
    <m/>
    <s v="03901 - ASSOCIACAO DE ENSINO SOCIAL PROFISSIONALIZANTE"/>
    <m/>
    <x v="21"/>
    <d v="2024-06-12T00:00:00"/>
    <x v="0"/>
    <m/>
  </r>
  <r>
    <x v="10"/>
    <n v="2889033"/>
    <x v="1"/>
    <x v="23"/>
    <s v="Integrador Fluig"/>
    <s v="10/06/2024"/>
    <d v="2024-12-06T00:00:00"/>
    <m/>
    <s v="Analise do Fiscal"/>
    <m/>
    <m/>
    <s v="06501 - ASSOCIACAO DE ENSINO SOCIAL PROFISSIONALIZANTE"/>
    <m/>
    <x v="44"/>
    <d v="2024-06-12T00:00:00"/>
    <x v="0"/>
    <m/>
  </r>
  <r>
    <x v="10"/>
    <n v="2889098"/>
    <x v="1"/>
    <x v="23"/>
    <s v="Integrador Fluig"/>
    <s v="10/06/2024"/>
    <s v="13/06/2024"/>
    <m/>
    <s v="Analise do Fiscal"/>
    <m/>
    <m/>
    <s v="06201 - ASSOCIACAO DE ENSINO SOCIAL PROFISSIONALIZANTE"/>
    <m/>
    <x v="21"/>
    <d v="2024-06-12T00:00:00"/>
    <x v="0"/>
    <m/>
  </r>
  <r>
    <x v="10"/>
    <n v="2889334"/>
    <x v="1"/>
    <x v="23"/>
    <s v="Integrador Fluig"/>
    <s v="10/06/2024"/>
    <d v="2024-12-06T00:00:00"/>
    <m/>
    <s v="Analise do Fiscal"/>
    <m/>
    <m/>
    <s v="00101 - ASSOCIACAO DE ENSINO SOCIAL PROFISSIONALIZANTE"/>
    <m/>
    <x v="44"/>
    <d v="2024-06-12T00:00:00"/>
    <x v="0"/>
    <m/>
  </r>
  <r>
    <x v="10"/>
    <n v="2889386"/>
    <x v="1"/>
    <x v="23"/>
    <s v="Integrador Fluig"/>
    <s v="10/06/2024"/>
    <d v="2024-12-06T00:00:00"/>
    <m/>
    <s v="Analise do Fiscal"/>
    <m/>
    <m/>
    <s v="00902 - BRASANITAS HOSPITALAR - HIGIENIZACAO E CONSERVACAO DE AMBIENTES DE SAUDE LTDA"/>
    <m/>
    <x v="44"/>
    <d v="2024-06-12T00:00:00"/>
    <x v="0"/>
    <m/>
  </r>
  <r>
    <x v="10"/>
    <n v="2889470"/>
    <x v="1"/>
    <x v="23"/>
    <s v="Integrador Fluig"/>
    <s v="10/06/2024"/>
    <s v="13/06/2024"/>
    <m/>
    <s v="Analise do Fiscal"/>
    <m/>
    <m/>
    <s v="01001 - COGAN CENTRO DE ONCOLOGIA AVANCADA LTDA"/>
    <m/>
    <x v="21"/>
    <d v="2024-06-12T00:00:00"/>
    <x v="0"/>
    <m/>
  </r>
  <r>
    <x v="10"/>
    <n v="2889831"/>
    <x v="1"/>
    <x v="23"/>
    <s v="Integrador Fluig"/>
    <s v="10/06/2024"/>
    <d v="2024-12-06T00:00:00"/>
    <m/>
    <s v="Analise do Fiscal"/>
    <m/>
    <m/>
    <s v="00101 - PAGE INTERIM DO BRASIL- RECRUTAMENTO ESPECIALIZADO LTDA"/>
    <m/>
    <x v="44"/>
    <d v="2024-06-12T00:00:00"/>
    <x v="0"/>
    <m/>
  </r>
  <r>
    <x v="10"/>
    <n v="2889902"/>
    <x v="1"/>
    <x v="23"/>
    <s v="Integrador Fluig"/>
    <s v="10/06/2024"/>
    <s v="13/06/2024"/>
    <m/>
    <s v="Analise do Fiscal"/>
    <m/>
    <m/>
    <s v="00101 - L. P. DOIN - CULTURA, LAZER E MARKETING EIRELI"/>
    <m/>
    <x v="21"/>
    <d v="2024-06-12T00:00:00"/>
    <x v="0"/>
    <m/>
  </r>
  <r>
    <x v="10"/>
    <n v="2890166"/>
    <x v="1"/>
    <x v="23"/>
    <s v="Integrador Fluig"/>
    <s v="10/06/2024"/>
    <d v="2024-12-06T00:00:00"/>
    <m/>
    <s v="Analise do Fiscal"/>
    <m/>
    <m/>
    <s v="04801 - BOLTINOX COMERCIO IMPORTACAO E EXPORTACAO LTDA"/>
    <m/>
    <x v="44"/>
    <d v="2024-06-12T00:00:00"/>
    <x v="0"/>
    <m/>
  </r>
  <r>
    <x v="10"/>
    <n v="2890168"/>
    <x v="1"/>
    <x v="23"/>
    <s v="Integrador Fluig"/>
    <s v="10/06/2024"/>
    <d v="2024-12-06T00:00:00"/>
    <m/>
    <s v="Analise do Fiscal"/>
    <m/>
    <m/>
    <s v="04801 - LM 1 SERVICOS LTDA"/>
    <m/>
    <x v="44"/>
    <d v="2024-06-12T00:00:00"/>
    <x v="0"/>
    <m/>
  </r>
  <r>
    <x v="10"/>
    <n v="2890176"/>
    <x v="1"/>
    <x v="23"/>
    <s v="Integrador Fluig"/>
    <s v="10/06/2024"/>
    <s v="13/06/2024"/>
    <m/>
    <s v="Analise do Fiscal"/>
    <m/>
    <m/>
    <s v="01001 - COBES RESTAURANTE E SERVICOS EIRELI - ME"/>
    <m/>
    <x v="21"/>
    <d v="2024-06-12T00:00:00"/>
    <x v="0"/>
    <m/>
  </r>
  <r>
    <x v="10"/>
    <n v="2890195"/>
    <x v="1"/>
    <x v="23"/>
    <s v="Integrador Fluig"/>
    <s v="10/06/2024"/>
    <s v="13/06/2024"/>
    <m/>
    <s v="Analise do Fiscal"/>
    <m/>
    <m/>
    <s v="04101 - DONA DE CASA SUPERMERCADOS LTDA"/>
    <m/>
    <x v="21"/>
    <d v="2024-06-12T00:00:00"/>
    <x v="0"/>
    <m/>
  </r>
  <r>
    <x v="10"/>
    <n v="2890199"/>
    <x v="1"/>
    <x v="23"/>
    <s v="Integrador Fluig"/>
    <s v="10/06/2024"/>
    <s v="13/06/2024"/>
    <m/>
    <s v="Analise do Fiscal"/>
    <m/>
    <m/>
    <s v="02901 - FAMAP NUTRICAO PARENTERAL LTDA"/>
    <m/>
    <x v="21"/>
    <d v="2024-06-12T00:00:00"/>
    <x v="0"/>
    <m/>
  </r>
  <r>
    <x v="10"/>
    <n v="2890204"/>
    <x v="1"/>
    <x v="23"/>
    <s v="Integrador Fluig"/>
    <s v="11/06/2024"/>
    <s v="13/06/2024"/>
    <m/>
    <s v="Analise do Fiscal"/>
    <m/>
    <m/>
    <s v="09103 - VIEZZER &amp; CIA LTDA"/>
    <m/>
    <x v="21"/>
    <d v="2024-06-12T00:00:00"/>
    <x v="0"/>
    <m/>
  </r>
  <r>
    <x v="10"/>
    <n v="2890214"/>
    <x v="1"/>
    <x v="23"/>
    <s v="Integrador Fluig"/>
    <s v="11/06/2024"/>
    <s v="13/06/2024"/>
    <m/>
    <s v="Analise do Fiscal"/>
    <m/>
    <m/>
    <s v="09101 - SPICEFIT ALIMENTOS FUNCIONAIS LTDA"/>
    <m/>
    <x v="21"/>
    <d v="2024-06-12T00:00:00"/>
    <x v="0"/>
    <m/>
  </r>
  <r>
    <x v="10"/>
    <n v="2890216"/>
    <x v="1"/>
    <x v="23"/>
    <s v="Integrador Fluig"/>
    <s v="11/06/2024"/>
    <s v="13/06/2024"/>
    <m/>
    <s v="Analise do Fiscal"/>
    <m/>
    <m/>
    <s v="09101 - ELEMENTS SHOPPING ONLINE LTDA"/>
    <m/>
    <x v="21"/>
    <d v="2024-06-12T00:00:00"/>
    <x v="0"/>
    <m/>
  </r>
  <r>
    <x v="10"/>
    <n v="2890220"/>
    <x v="1"/>
    <x v="23"/>
    <s v="Integrador Fluig"/>
    <s v="11/06/2024"/>
    <s v="13/06/2024"/>
    <m/>
    <s v="Analise do Fiscal"/>
    <m/>
    <m/>
    <s v="09401 - ONCO PROD DISTRIBUIDORA DE PRODUTOS HOSPITALARES E ONCOLOGICOS LTDA."/>
    <m/>
    <x v="21"/>
    <d v="2024-06-12T00:00:00"/>
    <x v="0"/>
    <m/>
  </r>
  <r>
    <x v="10"/>
    <n v="2890221"/>
    <x v="1"/>
    <x v="23"/>
    <s v="Integrador Fluig"/>
    <s v="11/06/2024"/>
    <d v="2024-12-06T00:00:00"/>
    <m/>
    <s v="Analise do Fiscal"/>
    <m/>
    <m/>
    <s v="07401 - CENTRO ELETRONICO DE UBERLANDIA LTDA"/>
    <m/>
    <x v="44"/>
    <d v="2024-06-12T00:00:00"/>
    <x v="0"/>
    <m/>
  </r>
  <r>
    <x v="10"/>
    <n v="2890222"/>
    <x v="1"/>
    <x v="23"/>
    <s v="Integrador Fluig"/>
    <s v="11/06/2024"/>
    <d v="2024-12-06T00:00:00"/>
    <m/>
    <s v="Analise do Fiscal"/>
    <m/>
    <m/>
    <s v="12201 - IBF - INDUSTRIA BRASILEIRA DE FARMOQUIMICOS S.A."/>
    <m/>
    <x v="44"/>
    <d v="2024-06-12T00:00:00"/>
    <x v="0"/>
    <m/>
  </r>
  <r>
    <x v="10"/>
    <n v="2890224"/>
    <x v="1"/>
    <x v="23"/>
    <s v="Integrador Fluig"/>
    <s v="11/06/2024"/>
    <s v="13/06/2024"/>
    <m/>
    <s v="Analise do Fiscal"/>
    <m/>
    <m/>
    <s v="04101 - DONA DE CASA SUPERMERCADOS LTDA"/>
    <m/>
    <x v="21"/>
    <d v="2024-06-12T00:00:00"/>
    <x v="0"/>
    <m/>
  </r>
  <r>
    <x v="10"/>
    <n v="2890227"/>
    <x v="1"/>
    <x v="23"/>
    <s v="Integrador Fluig"/>
    <s v="11/06/2024"/>
    <s v="13/06/2024"/>
    <m/>
    <s v="Analise do Fiscal"/>
    <m/>
    <m/>
    <s v="08202 - SUPRICORP SUPRIMENTOS LTDA"/>
    <m/>
    <x v="21"/>
    <d v="2024-06-12T00:00:00"/>
    <x v="0"/>
    <m/>
  </r>
  <r>
    <x v="10"/>
    <n v="2890231"/>
    <x v="1"/>
    <x v="23"/>
    <s v="Integrador Fluig"/>
    <s v="11/06/2024"/>
    <s v="13/06/2024"/>
    <m/>
    <s v="Analise do Fiscal"/>
    <m/>
    <m/>
    <s v="10301 - MOVEIS E ESTOFADOS SERRA GAUCHA LTDA"/>
    <m/>
    <x v="21"/>
    <d v="2024-06-12T00:00:00"/>
    <x v="0"/>
    <m/>
  </r>
  <r>
    <x v="10"/>
    <n v="2890232"/>
    <x v="1"/>
    <x v="23"/>
    <s v="Integrador Fluig"/>
    <s v="11/06/2024"/>
    <d v="2024-12-06T00:00:00"/>
    <m/>
    <s v="Analise do Fiscal"/>
    <m/>
    <m/>
    <s v="10001 - REALMAR DISTRIBUIDORA LTDA."/>
    <m/>
    <x v="44"/>
    <d v="2024-06-12T00:00:00"/>
    <x v="0"/>
    <m/>
  </r>
  <r>
    <x v="10"/>
    <n v="2890235"/>
    <x v="1"/>
    <x v="23"/>
    <s v="Integrador Fluig"/>
    <s v="11/06/2024"/>
    <d v="2024-12-06T00:00:00"/>
    <m/>
    <s v="Analise do Fiscal"/>
    <m/>
    <m/>
    <s v="07401 - BH FARMA COMERCIO LTDA"/>
    <m/>
    <x v="44"/>
    <d v="2024-06-12T00:00:00"/>
    <x v="0"/>
    <m/>
  </r>
  <r>
    <x v="10"/>
    <n v="2890236"/>
    <x v="1"/>
    <x v="23"/>
    <s v="Integrador Fluig"/>
    <s v="11/06/2024"/>
    <s v="13/06/2024"/>
    <m/>
    <s v="Analise do Fiscal"/>
    <m/>
    <m/>
    <s v="07401 - MULTIPLA COMERCIO DE DIVISORIAS E FORROS LTDA"/>
    <m/>
    <x v="21"/>
    <d v="2024-06-12T00:00:00"/>
    <x v="0"/>
    <m/>
  </r>
  <r>
    <x v="10"/>
    <n v="2890238"/>
    <x v="1"/>
    <x v="23"/>
    <s v="Integrador Fluig"/>
    <s v="11/06/2024"/>
    <s v="13/06/2024"/>
    <m/>
    <s v="Analise do Fiscal"/>
    <m/>
    <m/>
    <s v="10301 - MOVEIS E ESTOFADOS SERRA GAUCHA LTDA"/>
    <m/>
    <x v="21"/>
    <d v="2024-06-12T00:00:00"/>
    <x v="0"/>
    <m/>
  </r>
  <r>
    <x v="10"/>
    <n v="2890239"/>
    <x v="1"/>
    <x v="23"/>
    <s v="Integrador Fluig"/>
    <s v="11/06/2024"/>
    <d v="2024-12-06T00:00:00"/>
    <m/>
    <s v="Analise do Fiscal"/>
    <m/>
    <m/>
    <s v="07401 - BH FARMA COMERCIO LTDA"/>
    <m/>
    <x v="44"/>
    <d v="2024-06-12T00:00:00"/>
    <x v="0"/>
    <m/>
  </r>
  <r>
    <x v="10"/>
    <n v="2890241"/>
    <x v="1"/>
    <x v="23"/>
    <s v="Integrador Fluig"/>
    <s v="11/06/2024"/>
    <s v="13/06/2024"/>
    <m/>
    <s v="Analise do Fiscal"/>
    <m/>
    <m/>
    <s v="09101 - ELEMENTS SHOPPING ONLINE LTDA"/>
    <m/>
    <x v="21"/>
    <d v="2024-06-12T00:00:00"/>
    <x v="0"/>
    <m/>
  </r>
  <r>
    <x v="10"/>
    <n v="2890243"/>
    <x v="1"/>
    <x v="23"/>
    <s v="Integrador Fluig"/>
    <s v="11/06/2024"/>
    <s v="13/06/2024"/>
    <m/>
    <s v="Analise do Fiscal"/>
    <m/>
    <m/>
    <s v="04101 - DONA DE CASA SUPERMERCADOS LTDA"/>
    <m/>
    <x v="21"/>
    <d v="2024-06-12T00:00:00"/>
    <x v="0"/>
    <m/>
  </r>
  <r>
    <x v="10"/>
    <n v="2890244"/>
    <x v="1"/>
    <x v="23"/>
    <s v="Integrador Fluig"/>
    <s v="11/06/2024"/>
    <s v="13/06/2024"/>
    <m/>
    <s v="Analise do Fiscal"/>
    <m/>
    <m/>
    <s v="10301 - MOVEIS E ESTOFADOS SERRA GAUCHA LTDA"/>
    <m/>
    <x v="21"/>
    <d v="2024-06-12T00:00:00"/>
    <x v="0"/>
    <m/>
  </r>
  <r>
    <x v="10"/>
    <n v="2890245"/>
    <x v="1"/>
    <x v="23"/>
    <s v="Integrador Fluig"/>
    <s v="11/06/2024"/>
    <s v="13/06/2024"/>
    <m/>
    <s v="Analise do Fiscal"/>
    <m/>
    <m/>
    <s v="09401 - ONCO PROD DISTRIBUIDORA DE PRODUTOS HOSPITALARES E ONCOLOGICOS LTDA."/>
    <m/>
    <x v="21"/>
    <d v="2024-06-12T00:00:00"/>
    <x v="0"/>
    <m/>
  </r>
  <r>
    <x v="10"/>
    <n v="2890250"/>
    <x v="1"/>
    <x v="23"/>
    <s v="Integrador Fluig"/>
    <s v="11/06/2024"/>
    <s v="13/06/2024"/>
    <m/>
    <s v="Analise do Fiscal"/>
    <m/>
    <m/>
    <s v="09101 - SPICEFIT ALIMENTOS FUNCIONAIS LTDA"/>
    <m/>
    <x v="21"/>
    <d v="2024-06-12T00:00:00"/>
    <x v="0"/>
    <m/>
  </r>
  <r>
    <x v="10"/>
    <n v="2890251"/>
    <x v="1"/>
    <x v="23"/>
    <s v="Integrador Fluig"/>
    <s v="11/06/2024"/>
    <d v="2024-12-06T00:00:00"/>
    <m/>
    <s v="Analise do Fiscal"/>
    <m/>
    <m/>
    <s v="10001 - REALMAR DISTRIBUIDORA LTDA."/>
    <m/>
    <x v="44"/>
    <d v="2024-06-12T00:00:00"/>
    <x v="0"/>
    <m/>
  </r>
  <r>
    <x v="10"/>
    <n v="2890252"/>
    <x v="1"/>
    <x v="23"/>
    <s v="Integrador Fluig"/>
    <s v="11/06/2024"/>
    <s v="13/06/2024"/>
    <m/>
    <s v="Analise do Fiscal"/>
    <m/>
    <m/>
    <s v="08202 - SUPRICORP SUPRIMENTOS LTDA"/>
    <m/>
    <x v="21"/>
    <d v="2024-06-12T00:00:00"/>
    <x v="0"/>
    <m/>
  </r>
  <r>
    <x v="10"/>
    <n v="2890254"/>
    <x v="1"/>
    <x v="23"/>
    <s v="Integrador Fluig"/>
    <s v="11/06/2024"/>
    <d v="2024-12-06T00:00:00"/>
    <m/>
    <s v="Analise do Fiscal"/>
    <m/>
    <m/>
    <s v="12201 - IBF - INDUSTRIA BRASILEIRA DE FARMOQUIMICOS S.A."/>
    <m/>
    <x v="44"/>
    <d v="2024-06-12T00:00:00"/>
    <x v="0"/>
    <m/>
  </r>
  <r>
    <x v="10"/>
    <n v="2890255"/>
    <x v="1"/>
    <x v="23"/>
    <s v="Integrador Fluig"/>
    <s v="11/06/2024"/>
    <d v="2024-12-06T00:00:00"/>
    <m/>
    <s v="Analise do Fiscal"/>
    <m/>
    <m/>
    <s v="10001 - LIDERA PRO COMERCIO DE PRODUTOS E SERVICOS LTDA"/>
    <m/>
    <x v="44"/>
    <d v="2024-06-12T00:00:00"/>
    <x v="0"/>
    <m/>
  </r>
  <r>
    <x v="10"/>
    <n v="2890263"/>
    <x v="1"/>
    <x v="23"/>
    <s v="Integrador Fluig"/>
    <s v="11/06/2024"/>
    <s v="13/06/2024"/>
    <m/>
    <s v="Analise do Fiscal"/>
    <m/>
    <m/>
    <s v="08202 - SUPRICORP SUPRIMENTOS LTDA"/>
    <m/>
    <x v="21"/>
    <d v="2024-06-12T00:00:00"/>
    <x v="0"/>
    <m/>
  </r>
  <r>
    <x v="10"/>
    <n v="2890264"/>
    <x v="1"/>
    <x v="23"/>
    <s v="Integrador Fluig"/>
    <s v="11/06/2024"/>
    <d v="2024-12-06T00:00:00"/>
    <m/>
    <s v="Analise do Fiscal"/>
    <m/>
    <m/>
    <s v="07401 - BH FARMA COMERCIO LTDA"/>
    <m/>
    <x v="44"/>
    <d v="2024-06-12T00:00:00"/>
    <x v="0"/>
    <m/>
  </r>
  <r>
    <x v="10"/>
    <n v="2890265"/>
    <x v="1"/>
    <x v="23"/>
    <s v="Integrador Fluig"/>
    <s v="11/06/2024"/>
    <s v="13/06/2024"/>
    <m/>
    <s v="Analise do Fiscal"/>
    <m/>
    <m/>
    <s v="10001 - SERRAMED PRODUTOS HOSPITALARES EIRELI"/>
    <m/>
    <x v="21"/>
    <d v="2024-06-12T00:00:00"/>
    <x v="0"/>
    <m/>
  </r>
  <r>
    <x v="10"/>
    <n v="2890268"/>
    <x v="1"/>
    <x v="23"/>
    <s v="Integrador Fluig"/>
    <s v="11/06/2024"/>
    <s v="13/06/2024"/>
    <m/>
    <s v="Analise do Fiscal"/>
    <m/>
    <m/>
    <s v="09101 - ELEMENTS SHOPPING ONLINE LTDA"/>
    <m/>
    <x v="21"/>
    <d v="2024-06-12T00:00:00"/>
    <x v="0"/>
    <m/>
  </r>
  <r>
    <x v="10"/>
    <n v="2890274"/>
    <x v="1"/>
    <x v="23"/>
    <s v="Integrador Fluig"/>
    <s v="11/06/2024"/>
    <s v="13/06/2024"/>
    <m/>
    <s v="Analise do Fiscal"/>
    <m/>
    <m/>
    <s v="09103 - VIEZZER &amp; CIA LTDA"/>
    <m/>
    <x v="21"/>
    <d v="2024-06-12T00:00:00"/>
    <x v="0"/>
    <m/>
  </r>
  <r>
    <x v="10"/>
    <n v="2890278"/>
    <x v="1"/>
    <x v="23"/>
    <s v="Integrador Fluig"/>
    <s v="11/06/2024"/>
    <s v="13/06/2024"/>
    <m/>
    <s v="Analise do Fiscal"/>
    <m/>
    <m/>
    <s v="04101 - DONA DE CASA SUPERMERCADOS LTDA"/>
    <m/>
    <x v="21"/>
    <d v="2024-06-12T00:00:00"/>
    <x v="0"/>
    <m/>
  </r>
  <r>
    <x v="10"/>
    <n v="2890279"/>
    <x v="1"/>
    <x v="23"/>
    <s v="Integrador Fluig"/>
    <s v="11/06/2024"/>
    <d v="2024-12-06T00:00:00"/>
    <m/>
    <s v="Analise do Fiscal"/>
    <m/>
    <m/>
    <s v="07401 - MULTIPLA COMERCIO DE DIVISORIAS E FORROS LTDA"/>
    <m/>
    <x v="44"/>
    <d v="2024-06-12T00:00:00"/>
    <x v="0"/>
    <m/>
  </r>
  <r>
    <x v="10"/>
    <n v="2890715"/>
    <x v="1"/>
    <x v="23"/>
    <s v="Integrador Fluig"/>
    <s v="11/06/2024"/>
    <s v="13/06/2024"/>
    <m/>
    <s v="Analise do Fiscal"/>
    <m/>
    <m/>
    <s v="07101 - MACACOS DESENVOLVIMENTO E DESIGN LTDA"/>
    <m/>
    <x v="21"/>
    <d v="2024-06-12T00:00:00"/>
    <x v="0"/>
    <m/>
  </r>
  <r>
    <x v="10"/>
    <n v="2890729"/>
    <x v="1"/>
    <x v="23"/>
    <s v="Integrador Fluig"/>
    <s v="11/06/2024"/>
    <s v="13/06/2024"/>
    <m/>
    <s v="Analise do Fiscal"/>
    <m/>
    <m/>
    <s v="07401 - FRANCIELE HEMKEMAIER DA SILVA SEBOLD"/>
    <m/>
    <x v="21"/>
    <d v="2024-06-12T00:00:00"/>
    <x v="0"/>
    <m/>
  </r>
  <r>
    <x v="10"/>
    <n v="2890767"/>
    <x v="1"/>
    <x v="23"/>
    <s v="Integrador Fluig"/>
    <s v="11/06/2024"/>
    <s v="13/06/2024"/>
    <m/>
    <s v="Analise do Fiscal"/>
    <m/>
    <m/>
    <s v="04101 - MATERGIN SERVICOS MEDICOS LTDA"/>
    <m/>
    <x v="21"/>
    <d v="2024-06-12T00:00:00"/>
    <x v="0"/>
    <m/>
  </r>
  <r>
    <x v="10"/>
    <n v="2890801"/>
    <x v="1"/>
    <x v="23"/>
    <s v="Integrador Fluig"/>
    <s v="11/06/2024"/>
    <d v="2024-12-06T00:00:00"/>
    <m/>
    <s v="Analise do Fiscal"/>
    <m/>
    <m/>
    <s v="07401 - DANYEL LUCAS NUNES QUINARELLI 09442981684"/>
    <m/>
    <x v="44"/>
    <d v="2024-06-12T00:00:00"/>
    <x v="0"/>
    <m/>
  </r>
  <r>
    <x v="10"/>
    <n v="2891025"/>
    <x v="1"/>
    <x v="23"/>
    <s v="Integrador Fluig"/>
    <s v="11/06/2024"/>
    <s v="13/06/2024"/>
    <m/>
    <s v="Analise do Fiscal"/>
    <m/>
    <m/>
    <s v="01001 - THOR PRODUCOES LTDA"/>
    <m/>
    <x v="21"/>
    <d v="2024-06-12T00:00:00"/>
    <x v="0"/>
    <m/>
  </r>
  <r>
    <x v="10"/>
    <n v="2891347"/>
    <x v="1"/>
    <x v="23"/>
    <s v="Integrador Fluig"/>
    <s v="11/06/2024"/>
    <s v="13/06/2024"/>
    <m/>
    <s v="Analise do Fiscal"/>
    <m/>
    <m/>
    <s v="00104 - PUZZLE SOLUCOES DIGITAIS LTDA"/>
    <m/>
    <x v="21"/>
    <d v="2024-06-12T00:00:00"/>
    <x v="0"/>
    <m/>
  </r>
  <r>
    <x v="10"/>
    <n v="2891534"/>
    <x v="1"/>
    <x v="23"/>
    <s v="Integrador Fluig"/>
    <s v="11/06/2024"/>
    <s v="13/06/2024"/>
    <m/>
    <s v="Analise do Fiscal"/>
    <m/>
    <m/>
    <s v="07401 - X-MEDICAL ENGENHARIA E ASSISTENCIA TECNICA EIRELI"/>
    <m/>
    <x v="21"/>
    <d v="2024-06-12T00:00:00"/>
    <x v="0"/>
    <m/>
  </r>
  <r>
    <x v="10"/>
    <n v="2891563"/>
    <x v="1"/>
    <x v="23"/>
    <s v="Integrador Fluig"/>
    <s v="11/06/2024"/>
    <s v="13/06/2024"/>
    <m/>
    <s v="Analise do Fiscal"/>
    <m/>
    <m/>
    <s v="01001 - BPM SERVICOS MEDICOS LTDA"/>
    <m/>
    <x v="21"/>
    <d v="2024-06-12T00:00:00"/>
    <x v="0"/>
    <m/>
  </r>
  <r>
    <x v="10"/>
    <n v="2891564"/>
    <x v="1"/>
    <x v="23"/>
    <s v="Integrador Fluig"/>
    <s v="11/06/2024"/>
    <s v="13/06/2024"/>
    <m/>
    <s v="Analise do Fiscal"/>
    <m/>
    <m/>
    <s v="15301 - ACCENTURE DO BRASIL LTDA"/>
    <m/>
    <x v="21"/>
    <d v="2024-06-12T00:00:00"/>
    <x v="0"/>
    <m/>
  </r>
  <r>
    <x v="10"/>
    <n v="2891634"/>
    <x v="1"/>
    <x v="23"/>
    <s v="Integrador Fluig"/>
    <s v="11/06/2024"/>
    <s v="13/06/2024"/>
    <m/>
    <s v="Analise do Fiscal"/>
    <m/>
    <m/>
    <s v="07401 - APROVEH ASSOCIACAO PROFISSIONALIZANTE COM VALORES EDUCACIONAIS E HUMANOS"/>
    <m/>
    <x v="21"/>
    <d v="2024-06-12T00:00:00"/>
    <x v="0"/>
    <m/>
  </r>
  <r>
    <x v="10"/>
    <n v="2891960"/>
    <x v="1"/>
    <x v="23"/>
    <s v="Integrador Fluig"/>
    <s v="11/06/2024"/>
    <s v="13/06/2024"/>
    <m/>
    <s v="Analise do Fiscal"/>
    <m/>
    <m/>
    <s v="07401 - UBERTAXI - COOPERATIVA DE TRANSPORTE DE PASSAGEIROS DE UBERLANDIA LTDA"/>
    <m/>
    <x v="21"/>
    <d v="2024-06-12T00:00:00"/>
    <x v="0"/>
    <m/>
  </r>
  <r>
    <x v="0"/>
    <n v="2435825"/>
    <x v="1"/>
    <x v="22"/>
    <s v="Deodato Goncalves Ferreira"/>
    <s v="07/02/2024"/>
    <d v="2024-11-06T00:00:00"/>
    <m/>
    <s v="Avaliar e Gerar Título"/>
    <m/>
    <m/>
    <s v="2024/02/09 - N - CTTB"/>
    <m/>
    <x v="43"/>
    <d v="2024-06-12T00:00:00"/>
    <x v="0"/>
    <m/>
  </r>
  <r>
    <x v="7"/>
    <n v="2438139"/>
    <x v="1"/>
    <x v="22"/>
    <s v="Amanda Kelly Reginaldo"/>
    <s v="08/02/2024"/>
    <s v="13/06/2024"/>
    <m/>
    <s v="Avaliar e Gerar Título"/>
    <m/>
    <m/>
    <s v="EMERGENCIAL - 2024/02/09-UMC - UBERLANDIA MEDICAL CENTER"/>
    <m/>
    <x v="21"/>
    <d v="2024-06-12T00:00:00"/>
    <x v="0"/>
    <m/>
  </r>
  <r>
    <x v="8"/>
    <n v="2444589"/>
    <x v="1"/>
    <x v="22"/>
    <s v="Fernanda Paixao De Almeida"/>
    <s v="14/02/2024"/>
    <s v="13/06/2024"/>
    <m/>
    <s v="Avaliar e Gerar Título"/>
    <m/>
    <m/>
    <s v="EMERGENCIAL - 2024/02/09-07301 - Hospital Doutor Marcos Moraes"/>
    <m/>
    <x v="21"/>
    <d v="2024-06-12T00:00:00"/>
    <x v="0"/>
    <m/>
  </r>
  <r>
    <x v="9"/>
    <n v="2450449"/>
    <x v="1"/>
    <x v="22"/>
    <s v="Lissandra de Sousa Aleixo"/>
    <s v="16/02/2024"/>
    <d v="2024-07-06T00:00:00"/>
    <m/>
    <s v="Avaliar e Gerar Título"/>
    <m/>
    <m/>
    <s v="2024/02/23 - N - 00104 - Holding - SP"/>
    <m/>
    <x v="30"/>
    <d v="2024-06-12T00:00:00"/>
    <x v="0"/>
    <m/>
  </r>
  <r>
    <x v="4"/>
    <n v="2485865"/>
    <x v="1"/>
    <x v="22"/>
    <s v="Amanda Kelly Reginaldo"/>
    <s v="06/03/2024"/>
    <s v="13/06/2024"/>
    <m/>
    <s v="Avaliar e Gerar Título"/>
    <m/>
    <m/>
    <s v="EMERGENCIAL - 2024/03/11-UMC IMAGEM"/>
    <m/>
    <x v="21"/>
    <d v="2024-06-12T00:00:00"/>
    <x v="0"/>
    <m/>
  </r>
  <r>
    <x v="5"/>
    <n v="2485933"/>
    <x v="1"/>
    <x v="22"/>
    <s v="Amanda Kelly Reginaldo"/>
    <s v="06/03/2024"/>
    <s v="13/06/2024"/>
    <m/>
    <s v="Avaliar e Gerar Título"/>
    <m/>
    <m/>
    <s v="EMERGENCIAL - 2024/03/11-IRA - INSTITUTO ROBERTO ALVARENGA LTDA - SAO CRISTOVAO"/>
    <m/>
    <x v="21"/>
    <d v="2024-06-12T00:00:00"/>
    <x v="0"/>
    <m/>
  </r>
  <r>
    <x v="0"/>
    <n v="2486074"/>
    <x v="1"/>
    <x v="22"/>
    <s v="Amanda Kelly Reginaldo"/>
    <s v="06/03/2024"/>
    <s v="13/06/2024"/>
    <m/>
    <s v="Avaliar e Gerar Título"/>
    <m/>
    <m/>
    <s v="EMERGENCIAL - 2024/03/15-IHOC"/>
    <m/>
    <x v="21"/>
    <d v="2024-06-12T00:00:00"/>
    <x v="0"/>
    <m/>
  </r>
  <r>
    <x v="7"/>
    <n v="2486310"/>
    <x v="1"/>
    <x v="22"/>
    <s v="Amanda Kelly Reginaldo"/>
    <s v="06/03/2024"/>
    <s v="13/06/2024"/>
    <m/>
    <s v="Avaliar e Gerar Título"/>
    <m/>
    <m/>
    <s v="EMERGENCIAL - 2024/03/15-COT - Matriz"/>
    <m/>
    <x v="21"/>
    <d v="2024-06-12T00:00:00"/>
    <x v="0"/>
    <m/>
  </r>
  <r>
    <x v="8"/>
    <n v="2486323"/>
    <x v="1"/>
    <x v="22"/>
    <s v="Amanda Kelly Reginaldo"/>
    <s v="06/03/2024"/>
    <s v="13/06/2024"/>
    <m/>
    <s v="Avaliar e Gerar Título"/>
    <m/>
    <m/>
    <s v="EMERGENCIAL - 2024/03/22-COT - RT"/>
    <m/>
    <x v="21"/>
    <d v="2024-06-12T00:00:00"/>
    <x v="0"/>
    <m/>
  </r>
  <r>
    <x v="9"/>
    <n v="2486331"/>
    <x v="1"/>
    <x v="22"/>
    <s v="Amanda Kelly Reginaldo"/>
    <s v="06/03/2024"/>
    <s v="13/06/2024"/>
    <m/>
    <s v="Avaliar e Gerar Título"/>
    <m/>
    <m/>
    <s v="EMERGENCIAL - 2024/03/22-COT - Triângulo"/>
    <m/>
    <x v="21"/>
    <d v="2024-06-12T00:00:00"/>
    <x v="0"/>
    <m/>
  </r>
  <r>
    <x v="6"/>
    <n v="2486357"/>
    <x v="1"/>
    <x v="22"/>
    <s v="Amanda Kelly Reginaldo"/>
    <s v="06/03/2024"/>
    <s v="13/06/2024"/>
    <m/>
    <s v="Avaliar e Gerar Título"/>
    <m/>
    <m/>
    <s v="EMERGENCIAL - 2024/03/22-UMC - UBERLANDIA MEDICAL CENTER"/>
    <m/>
    <x v="21"/>
    <d v="2024-06-12T00:00:00"/>
    <x v="0"/>
    <m/>
  </r>
  <r>
    <x v="4"/>
    <n v="2486362"/>
    <x v="1"/>
    <x v="22"/>
    <s v="Amanda Kelly Reginaldo"/>
    <s v="06/03/2024"/>
    <s v="13/06/2024"/>
    <m/>
    <s v="Avaliar e Gerar Título"/>
    <m/>
    <m/>
    <s v="EMERGENCIAL - 2024/03/22-ICT Matriz"/>
    <m/>
    <x v="21"/>
    <d v="2024-06-12T00:00:00"/>
    <x v="0"/>
    <m/>
  </r>
  <r>
    <x v="5"/>
    <n v="2486367"/>
    <x v="1"/>
    <x v="22"/>
    <s v="Amanda Kelly Reginaldo"/>
    <s v="06/03/2024"/>
    <s v="13/06/2024"/>
    <m/>
    <s v="Avaliar e Gerar Título"/>
    <m/>
    <m/>
    <s v="EMERGENCIAL - 2024/03/22-UMC IMAGEM"/>
    <m/>
    <x v="21"/>
    <d v="2024-06-12T00:00:00"/>
    <x v="0"/>
    <m/>
  </r>
  <r>
    <x v="6"/>
    <n v="2562514"/>
    <x v="1"/>
    <x v="22"/>
    <s v="Viviane Rodrigues Pinheiro"/>
    <s v="15/04/2024"/>
    <s v="13/06/2024"/>
    <m/>
    <s v="Avaliar e Gerar Título"/>
    <m/>
    <m/>
    <s v="2024/04/17 - N - 01702 - CQO - The Place I"/>
    <m/>
    <x v="21"/>
    <d v="2024-06-12T00:00:00"/>
    <x v="0"/>
    <m/>
  </r>
  <r>
    <x v="5"/>
    <n v="2582821"/>
    <x v="1"/>
    <x v="22"/>
    <s v="Jonathas Faria De Oliveira"/>
    <s v="24/04/2024"/>
    <d v="2024-07-06T00:00:00"/>
    <m/>
    <s v="Avaliar e Gerar Título"/>
    <m/>
    <m/>
    <s v="2024/04/19 - N - 08601 - ICB - Pátio Capital"/>
    <m/>
    <x v="30"/>
    <d v="2024-06-12T00:00:00"/>
    <x v="0"/>
    <m/>
  </r>
  <r>
    <x v="7"/>
    <n v="2702413"/>
    <x v="1"/>
    <x v="22"/>
    <s v="Liziane Duarte Rodrigues"/>
    <s v="16/05/2024"/>
    <d v="2024-11-06T00:00:00"/>
    <m/>
    <s v="Avaliar e Gerar Título"/>
    <m/>
    <m/>
    <s v="2024/05/20 - N - CPO SP - Faria Lima (10º andar)"/>
    <m/>
    <x v="43"/>
    <d v="2024-06-12T00:00:00"/>
    <x v="0"/>
    <m/>
  </r>
  <r>
    <x v="8"/>
    <n v="2723176"/>
    <x v="1"/>
    <x v="22"/>
    <s v="Larissa Pinto de Carvalho"/>
    <s v="17/05/2024"/>
    <d v="2024-12-06T00:00:00"/>
    <m/>
    <s v="Avaliar e Gerar Título"/>
    <m/>
    <m/>
    <s v="2024/05/18 - N - Oncobio"/>
    <m/>
    <x v="44"/>
    <d v="2024-06-12T00:00:00"/>
    <x v="0"/>
    <m/>
  </r>
  <r>
    <x v="9"/>
    <n v="2723306"/>
    <x v="1"/>
    <x v="22"/>
    <s v="Niliana Batista Sturzeneker Lacerda"/>
    <s v="17/05/2024"/>
    <d v="2024-07-06T00:00:00"/>
    <m/>
    <s v="Avaliar e Gerar Título"/>
    <m/>
    <m/>
    <s v="EMERGENCIAL - 2024/05/22-Oncoclinicas (Ceon)"/>
    <m/>
    <x v="30"/>
    <d v="2024-06-12T00:00:00"/>
    <x v="0"/>
    <m/>
  </r>
  <r>
    <x v="4"/>
    <n v="2859885"/>
    <x v="1"/>
    <x v="22"/>
    <s v="Larissa Pinto de Carvalho"/>
    <s v="27/05/2024"/>
    <d v="2024-12-06T00:00:00"/>
    <m/>
    <s v="Avaliar e Gerar Título"/>
    <m/>
    <m/>
    <s v="2024/05/28 - N - MICROIMAGEM LAB DE ANATOMIA PAT E CITOPATOLOGIA"/>
    <m/>
    <x v="44"/>
    <d v="2024-06-12T00:00:00"/>
    <x v="0"/>
    <m/>
  </r>
  <r>
    <x v="5"/>
    <n v="2862399"/>
    <x v="1"/>
    <x v="22"/>
    <s v="Niliana Batista Sturzeneker Lacerda"/>
    <s v="28/05/2024"/>
    <d v="2024-12-06T00:00:00"/>
    <m/>
    <s v="Avaliar e Gerar Título"/>
    <m/>
    <m/>
    <s v="EMERGENCIAL - 2024/05/29-Oncobio"/>
    <m/>
    <x v="44"/>
    <d v="2024-06-12T00:00:00"/>
    <x v="0"/>
    <m/>
  </r>
  <r>
    <x v="11"/>
    <n v="2876536"/>
    <x v="1"/>
    <x v="386"/>
    <s v="Jaqueline Ferreira Da Silva"/>
    <s v="04/06/2024"/>
    <d v="2024-12-06T00:00:00"/>
    <m/>
    <s v="Verificação Fiscal"/>
    <m/>
    <m/>
    <s v="2024/06/18 - 00104 - Holding - SP"/>
    <m/>
    <x v="44"/>
    <d v="2024-06-12T00:00:00"/>
    <x v="0"/>
    <m/>
  </r>
  <r>
    <x v="11"/>
    <n v="2876540"/>
    <x v="1"/>
    <x v="386"/>
    <s v="Jaqueline Ferreira Da Silva"/>
    <s v="04/06/2024"/>
    <d v="2024-12-06T00:00:00"/>
    <m/>
    <s v="Verificação Fiscal"/>
    <m/>
    <m/>
    <s v="2024/06/12 - 00104 - Holding - SP"/>
    <m/>
    <x v="44"/>
    <d v="2024-06-12T00:00:00"/>
    <x v="0"/>
    <m/>
  </r>
  <r>
    <x v="0"/>
    <n v="2877339"/>
    <x v="1"/>
    <x v="387"/>
    <s v="Bianca Martiniano Castro"/>
    <s v="05/06/2024"/>
    <d v="2024-12-06T00:00:00"/>
    <m/>
    <s v="Verificação Fiscal"/>
    <m/>
    <m/>
    <s v="2024/06/12 - Holding - SP"/>
    <m/>
    <x v="44"/>
    <d v="2024-06-12T00:00:00"/>
    <x v="0"/>
    <m/>
  </r>
  <r>
    <x v="11"/>
    <n v="2877524"/>
    <x v="1"/>
    <x v="386"/>
    <s v="Milena Dos Santos Costa Vilela"/>
    <s v="05/06/2024"/>
    <d v="2024-12-06T00:00:00"/>
    <m/>
    <s v="Verificação Fiscal"/>
    <m/>
    <m/>
    <s v="2024/07/03 - 07301 - Hospital Doutor Marcos Moraes"/>
    <m/>
    <x v="44"/>
    <d v="2024-06-12T00:00:00"/>
    <x v="0"/>
    <m/>
  </r>
  <r>
    <x v="11"/>
    <n v="2877565"/>
    <x v="1"/>
    <x v="386"/>
    <s v="Milena Dos Santos Costa Vilela"/>
    <s v="05/06/2024"/>
    <d v="2024-12-06T00:00:00"/>
    <m/>
    <s v="Verificação Fiscal"/>
    <m/>
    <m/>
    <s v="2024/06/30 - 07301 - Hospital Doutor Marcos Moraes"/>
    <m/>
    <x v="44"/>
    <d v="2024-06-12T00:00:00"/>
    <x v="0"/>
    <m/>
  </r>
  <r>
    <x v="11"/>
    <n v="2879049"/>
    <x v="1"/>
    <x v="386"/>
    <s v="Milena Dos Santos Costa Vilela"/>
    <s v="05/06/2024"/>
    <d v="2024-12-06T00:00:00"/>
    <m/>
    <s v="Verificação Fiscal"/>
    <m/>
    <m/>
    <s v="2024/07/04 - 07301 - Hospital Doutor Marcos Moraes"/>
    <m/>
    <x v="44"/>
    <d v="2024-06-12T00:00:00"/>
    <x v="0"/>
    <m/>
  </r>
  <r>
    <x v="7"/>
    <n v="2883200"/>
    <x v="1"/>
    <x v="22"/>
    <s v="Cynthia Braga Ribeiro Morais"/>
    <s v="07/06/2024"/>
    <d v="2024-12-06T00:00:00"/>
    <m/>
    <s v="Avaliar e Gerar Título"/>
    <m/>
    <m/>
    <s v="EMERGENCIAL - 2024/06/12-Oncoclinicas (Ceon)"/>
    <m/>
    <x v="44"/>
    <d v="2024-06-12T00:00:00"/>
    <x v="0"/>
    <m/>
  </r>
  <r>
    <x v="11"/>
    <n v="2883822"/>
    <x v="1"/>
    <x v="386"/>
    <s v="Rosirlei Ribeiro de Andrade"/>
    <s v="07/06/2024"/>
    <d v="2024-12-06T00:00:00"/>
    <m/>
    <s v="Verificação Fiscal"/>
    <m/>
    <m/>
    <s v="2024/06/15 - 07401 - UMC - UBERLANDIA MEDICAL CENTER"/>
    <m/>
    <x v="44"/>
    <d v="2024-06-12T00:00:00"/>
    <x v="0"/>
    <m/>
  </r>
  <r>
    <x v="11"/>
    <n v="2884350"/>
    <x v="1"/>
    <x v="386"/>
    <s v="Milena Dos Santos Costa Vilela"/>
    <s v="07/06/2024"/>
    <d v="2024-12-06T00:00:00"/>
    <m/>
    <s v="Verificação Fiscal"/>
    <m/>
    <m/>
    <s v="2024/06/23 - 07301 - Hospital Doutor Marcos Moraes"/>
    <m/>
    <x v="44"/>
    <d v="2024-06-12T00:00:00"/>
    <x v="0"/>
    <m/>
  </r>
  <r>
    <x v="8"/>
    <n v="2884651"/>
    <x v="1"/>
    <x v="22"/>
    <s v="Natalia Cristina Eliziario Rodrigues"/>
    <s v="07/06/2024"/>
    <d v="2024-12-06T00:00:00"/>
    <m/>
    <s v="Avaliar e Gerar Título"/>
    <m/>
    <m/>
    <s v="EMERGENCIAL - 2024/06/10-Holding - SP"/>
    <m/>
    <x v="44"/>
    <d v="2024-06-12T00:00:00"/>
    <x v="0"/>
    <m/>
  </r>
  <r>
    <x v="9"/>
    <n v="2886619"/>
    <x v="1"/>
    <x v="387"/>
    <s v="Aline de Sousa Freitas"/>
    <s v="07/06/2024"/>
    <d v="2024-12-06T00:00:00"/>
    <m/>
    <s v="Verificação Fiscal"/>
    <m/>
    <m/>
    <s v="2024/06/10 - NEON - Matriz"/>
    <m/>
    <x v="44"/>
    <d v="2024-06-12T00:00:00"/>
    <x v="0"/>
    <m/>
  </r>
  <r>
    <x v="6"/>
    <n v="2886630"/>
    <x v="1"/>
    <x v="387"/>
    <s v="Aline de Sousa Freitas"/>
    <s v="07/06/2024"/>
    <d v="2024-12-06T00:00:00"/>
    <m/>
    <s v="Verificação Fiscal"/>
    <m/>
    <m/>
    <s v="2024/06/10 - NEON - Matriz"/>
    <m/>
    <x v="44"/>
    <d v="2024-06-12T00:00:00"/>
    <x v="0"/>
    <m/>
  </r>
  <r>
    <x v="4"/>
    <n v="2886639"/>
    <x v="1"/>
    <x v="387"/>
    <s v="Aline de Sousa Freitas"/>
    <s v="07/06/2024"/>
    <d v="2024-12-06T00:00:00"/>
    <m/>
    <s v="Verificação Fiscal"/>
    <m/>
    <m/>
    <s v="2024/06/10 - NEON - Matriz"/>
    <m/>
    <x v="44"/>
    <d v="2024-06-12T00:00:00"/>
    <x v="0"/>
    <m/>
  </r>
  <r>
    <x v="5"/>
    <n v="2888178"/>
    <x v="1"/>
    <x v="388"/>
    <s v="Milena Dos Santos Costa Vilela"/>
    <s v="10/06/2024"/>
    <d v="2024-11-06T00:00:00"/>
    <m/>
    <s v="Tratativa erro Integração"/>
    <m/>
    <m/>
    <s v="2024/06/12 - Hospital Doutor Marcos Moraes"/>
    <m/>
    <x v="43"/>
    <d v="2024-06-12T00:00:00"/>
    <x v="0"/>
    <m/>
  </r>
  <r>
    <x v="0"/>
    <n v="2888389"/>
    <x v="1"/>
    <x v="388"/>
    <s v="Alessandra da Silva Dias"/>
    <s v="10/06/2024"/>
    <d v="2024-12-06T00:00:00"/>
    <m/>
    <s v="Verificação Fiscal"/>
    <m/>
    <m/>
    <s v="2024/06/10 - Hospital Doutor Marcos Moraes"/>
    <m/>
    <x v="44"/>
    <d v="2024-06-12T00:00:00"/>
    <x v="0"/>
    <m/>
  </r>
  <r>
    <x v="7"/>
    <n v="2888460"/>
    <x v="1"/>
    <x v="387"/>
    <s v="Bianca Martiniano Castro"/>
    <s v="10/06/2024"/>
    <d v="2024-12-06T00:00:00"/>
    <m/>
    <s v="Verificação Fiscal"/>
    <m/>
    <m/>
    <s v="2024/06/14 - Holding - SP"/>
    <m/>
    <x v="44"/>
    <d v="2024-06-12T00:00:00"/>
    <x v="0"/>
    <m/>
  </r>
  <r>
    <x v="11"/>
    <n v="2888735"/>
    <x v="1"/>
    <x v="386"/>
    <s v="Leonardo Martins Penna de Oliveira Santos"/>
    <s v="10/06/2024"/>
    <d v="2024-11-06T00:00:00"/>
    <m/>
    <s v="Verificação Fiscal"/>
    <m/>
    <m/>
    <s v="2024/06/17 - 08201 - COTE - CENTRO ONCOLOGICO E TRATAMENTOS ESPECIAIS LTDA"/>
    <m/>
    <x v="43"/>
    <d v="2024-06-12T00:00:00"/>
    <x v="0"/>
    <m/>
  </r>
  <r>
    <x v="8"/>
    <n v="2888767"/>
    <x v="1"/>
    <x v="387"/>
    <s v="Bianca Martiniano Castro"/>
    <s v="10/06/2024"/>
    <d v="2024-12-06T00:00:00"/>
    <m/>
    <s v="Verificação Fiscal"/>
    <m/>
    <m/>
    <s v="2024/06/14 - Holding - SP"/>
    <m/>
    <x v="44"/>
    <d v="2024-06-12T00:00:00"/>
    <x v="0"/>
    <m/>
  </r>
  <r>
    <x v="9"/>
    <n v="2889260"/>
    <x v="1"/>
    <x v="387"/>
    <s v="Débora Cristina Moraes Da Silva"/>
    <s v="10/06/2024"/>
    <d v="2024-12-06T00:00:00"/>
    <m/>
    <s v="Verificação Fiscal"/>
    <m/>
    <m/>
    <s v="2024/06/13 - ICB - OSM"/>
    <m/>
    <x v="44"/>
    <d v="2024-06-12T00:00:00"/>
    <x v="0"/>
    <m/>
  </r>
  <r>
    <x v="6"/>
    <n v="2889848"/>
    <x v="1"/>
    <x v="387"/>
    <s v="Bianca Martiniano Castro"/>
    <s v="10/06/2024"/>
    <d v="2024-12-06T00:00:00"/>
    <m/>
    <s v="Verificação Fiscal"/>
    <m/>
    <m/>
    <s v="2024/06/17 - Holding - SP"/>
    <m/>
    <x v="44"/>
    <d v="2024-06-12T00:00:00"/>
    <x v="0"/>
    <m/>
  </r>
  <r>
    <x v="4"/>
    <n v="2889913"/>
    <x v="1"/>
    <x v="387"/>
    <s v="Marilia Pereira Dantas"/>
    <s v="10/06/2024"/>
    <d v="2024-12-06T00:00:00"/>
    <m/>
    <s v="Verificação Fiscal"/>
    <m/>
    <m/>
    <s v="2024/06/19 - CPO PB - João Pessoa"/>
    <m/>
    <x v="44"/>
    <d v="2024-06-12T00:00:00"/>
    <x v="0"/>
    <m/>
  </r>
  <r>
    <x v="11"/>
    <n v="2890026"/>
    <x v="1"/>
    <x v="386"/>
    <s v="Maria Jose Vieira Da Silva"/>
    <s v="10/06/2024"/>
    <d v="2024-12-06T00:00:00"/>
    <m/>
    <s v="Verificação Fiscal"/>
    <m/>
    <m/>
    <s v="2024/06/14 - 09001 - Cettro - Asa Norte"/>
    <m/>
    <x v="44"/>
    <d v="2024-06-12T00:00:00"/>
    <x v="0"/>
    <m/>
  </r>
  <r>
    <x v="5"/>
    <n v="2890035"/>
    <x v="1"/>
    <x v="387"/>
    <s v="Janayna Maria Da Silva Carvalho"/>
    <s v="10/06/2024"/>
    <d v="2024-12-06T00:00:00"/>
    <m/>
    <s v="Verificação Fiscal"/>
    <m/>
    <m/>
    <s v="2024/06/14 - Oncoclinicas (Ceon)"/>
    <m/>
    <x v="44"/>
    <d v="2024-06-12T00:00:00"/>
    <x v="0"/>
    <m/>
  </r>
  <r>
    <x v="0"/>
    <n v="2890066"/>
    <x v="1"/>
    <x v="387"/>
    <s v="Janayna Maria Da Silva Carvalho"/>
    <s v="10/06/2024"/>
    <d v="2024-12-06T00:00:00"/>
    <m/>
    <s v="Verificação Fiscal"/>
    <m/>
    <m/>
    <s v="2024/06/14 - Oncoclinicas (Ceon)"/>
    <m/>
    <x v="44"/>
    <d v="2024-06-12T00:00:00"/>
    <x v="0"/>
    <m/>
  </r>
  <r>
    <x v="11"/>
    <n v="2890098"/>
    <x v="1"/>
    <x v="386"/>
    <s v="Jaqueline Ferreira Da Silva"/>
    <s v="10/06/2024"/>
    <d v="2024-12-06T00:00:00"/>
    <m/>
    <s v="Verificação Fiscal"/>
    <m/>
    <m/>
    <s v="2024/06/24 - 00104 - Holding - SP"/>
    <m/>
    <x v="44"/>
    <d v="2024-06-12T00:00:00"/>
    <x v="0"/>
    <m/>
  </r>
  <r>
    <x v="7"/>
    <n v="2890571"/>
    <x v="1"/>
    <x v="388"/>
    <s v="Kelly Andrade dos Santos"/>
    <s v="11/06/2024"/>
    <d v="2024-12-06T00:00:00"/>
    <m/>
    <s v="Verificação Fiscal"/>
    <m/>
    <m/>
    <s v="2024/06/25 - UMC - UBERLANDIA MEDICAL CENTER"/>
    <m/>
    <x v="44"/>
    <d v="2024-06-12T00:00:00"/>
    <x v="0"/>
    <m/>
  </r>
  <r>
    <x v="8"/>
    <n v="2890578"/>
    <x v="1"/>
    <x v="388"/>
    <s v="Stefany Cruvinel Martins"/>
    <s v="11/06/2024"/>
    <d v="2024-12-06T00:00:00"/>
    <m/>
    <s v="Verificação Fiscal"/>
    <m/>
    <m/>
    <s v="2024/06/17 - UMC - UBERLANDIA MEDICAL CENTER"/>
    <m/>
    <x v="44"/>
    <d v="2024-06-12T00:00:00"/>
    <x v="0"/>
    <m/>
  </r>
  <r>
    <x v="9"/>
    <n v="2890591"/>
    <x v="1"/>
    <x v="388"/>
    <s v="Thais Fernandes Goncalves"/>
    <s v="11/06/2024"/>
    <d v="2024-12-06T00:00:00"/>
    <m/>
    <s v="Verificação Fiscal"/>
    <m/>
    <m/>
    <s v="2024/06/14 - UMC IMAGEM"/>
    <m/>
    <x v="44"/>
    <d v="2024-06-12T00:00:00"/>
    <x v="0"/>
    <m/>
  </r>
  <r>
    <x v="11"/>
    <n v="2890723"/>
    <x v="1"/>
    <x v="386"/>
    <s v="Milena Dos Santos Costa Vilela"/>
    <s v="11/06/2024"/>
    <d v="2024-12-06T00:00:00"/>
    <m/>
    <s v="Verificação Fiscal"/>
    <m/>
    <m/>
    <s v="2024/07/06 - 07301 - Hospital Doutor Marcos Moraes"/>
    <m/>
    <x v="44"/>
    <d v="2024-06-12T00:00:00"/>
    <x v="0"/>
    <m/>
  </r>
  <r>
    <x v="11"/>
    <n v="2890736"/>
    <x v="1"/>
    <x v="386"/>
    <s v="Milena Dos Santos Costa Vilela"/>
    <s v="11/06/2024"/>
    <d v="2024-12-06T00:00:00"/>
    <m/>
    <s v="Verificação Fiscal"/>
    <m/>
    <m/>
    <s v="2024/07/05 - 07301 - Hospital Doutor Marcos Moraes"/>
    <m/>
    <x v="44"/>
    <d v="2024-06-12T00:00:00"/>
    <x v="0"/>
    <m/>
  </r>
  <r>
    <x v="11"/>
    <n v="2890768"/>
    <x v="1"/>
    <x v="386"/>
    <s v="Milena Dos Santos Costa Vilela"/>
    <s v="11/06/2024"/>
    <d v="2024-12-06T00:00:00"/>
    <m/>
    <s v="Verificação Fiscal"/>
    <m/>
    <m/>
    <s v="2024/06/21 - 07301 - Hospital Doutor Marcos Moraes"/>
    <m/>
    <x v="44"/>
    <d v="2024-06-12T00:00:00"/>
    <x v="0"/>
    <m/>
  </r>
  <r>
    <x v="11"/>
    <n v="2890808"/>
    <x v="1"/>
    <x v="386"/>
    <s v="Milena Dos Santos Costa Vilela"/>
    <s v="11/06/2024"/>
    <d v="2024-12-06T00:00:00"/>
    <m/>
    <s v="Verificação Fiscal"/>
    <m/>
    <m/>
    <s v="2024/06/28 - 07301 - Hospital Doutor Marcos Moraes"/>
    <m/>
    <x v="44"/>
    <d v="2024-06-12T00:00:00"/>
    <x v="0"/>
    <m/>
  </r>
  <r>
    <x v="11"/>
    <n v="2890855"/>
    <x v="1"/>
    <x v="386"/>
    <s v="Milena Dos Santos Costa Vilela"/>
    <s v="11/06/2024"/>
    <d v="2024-12-06T00:00:00"/>
    <m/>
    <s v="Verificação Fiscal"/>
    <m/>
    <m/>
    <s v="2024/06/28 - 07301 - Hospital Doutor Marcos Moraes"/>
    <m/>
    <x v="44"/>
    <d v="2024-06-12T00:00:00"/>
    <x v="0"/>
    <m/>
  </r>
  <r>
    <x v="6"/>
    <n v="2890879"/>
    <x v="1"/>
    <x v="387"/>
    <s v="Edna Barbalho Martins"/>
    <s v="11/06/2024"/>
    <d v="2024-11-06T00:00:00"/>
    <m/>
    <s v="Verificação Fiscal"/>
    <m/>
    <m/>
    <s v="2024/06/17 - IRA - INSTITUTO ROBERTO ALVARENGA LTDA - MATRIZ"/>
    <m/>
    <x v="43"/>
    <d v="2024-06-12T00:00:00"/>
    <x v="0"/>
    <m/>
  </r>
  <r>
    <x v="4"/>
    <n v="2890962"/>
    <x v="1"/>
    <x v="387"/>
    <s v="Janayna Maria Da Silva Carvalho"/>
    <s v="11/06/2024"/>
    <d v="2024-12-06T00:00:00"/>
    <m/>
    <s v="Verificação Fiscal"/>
    <m/>
    <m/>
    <s v="2024/06/17 - CTTB"/>
    <m/>
    <x v="44"/>
    <d v="2024-06-12T00:00:00"/>
    <x v="0"/>
    <m/>
  </r>
  <r>
    <x v="11"/>
    <n v="2890966"/>
    <x v="1"/>
    <x v="386"/>
    <s v="Milena Dos Santos Costa Vilela"/>
    <s v="11/06/2024"/>
    <d v="2024-12-06T00:00:00"/>
    <m/>
    <s v="Verificação Fiscal"/>
    <m/>
    <m/>
    <s v="2024/06/25 - 07301 - Hospital Doutor Marcos Moraes"/>
    <m/>
    <x v="44"/>
    <d v="2024-06-12T00:00:00"/>
    <x v="0"/>
    <m/>
  </r>
  <r>
    <x v="5"/>
    <n v="2891026"/>
    <x v="1"/>
    <x v="387"/>
    <s v="Bianca Martiniano Castro"/>
    <s v="11/06/2024"/>
    <d v="2024-12-06T00:00:00"/>
    <m/>
    <s v="Verificação Fiscal"/>
    <m/>
    <m/>
    <s v="2024/06/18 - Holding - SP"/>
    <m/>
    <x v="44"/>
    <d v="2024-06-12T00:00:00"/>
    <x v="0"/>
    <m/>
  </r>
  <r>
    <x v="11"/>
    <n v="2891132"/>
    <x v="1"/>
    <x v="386"/>
    <s v="Patricia Ramos Reboucas Cruz"/>
    <s v="11/06/2024"/>
    <d v="2024-12-06T00:00:00"/>
    <m/>
    <s v="Verificação Fiscal"/>
    <m/>
    <m/>
    <s v="2024/06/24 - 07801 - JPC"/>
    <m/>
    <x v="44"/>
    <d v="2024-06-12T00:00:00"/>
    <x v="0"/>
    <m/>
  </r>
  <r>
    <x v="0"/>
    <n v="2891139"/>
    <x v="1"/>
    <x v="387"/>
    <s v="Suzana Silva Carvalho"/>
    <s v="11/06/2024"/>
    <d v="2024-12-06T00:00:00"/>
    <m/>
    <s v="Verificação Fiscal"/>
    <m/>
    <m/>
    <s v="2024/06/18 - Idengene"/>
    <m/>
    <x v="44"/>
    <d v="2024-06-12T00:00:00"/>
    <x v="0"/>
    <m/>
  </r>
  <r>
    <x v="7"/>
    <n v="2891184"/>
    <x v="1"/>
    <x v="387"/>
    <s v="Barbara Sebastiana De Sousa"/>
    <s v="11/06/2024"/>
    <d v="2024-12-06T00:00:00"/>
    <m/>
    <s v="Verificação Fiscal"/>
    <m/>
    <m/>
    <s v="2024/06/20 - CBR - Centro Brasileiro de Radioterapia Oncologia e Mastologia"/>
    <m/>
    <x v="44"/>
    <d v="2024-06-12T00:00:00"/>
    <x v="0"/>
    <m/>
  </r>
  <r>
    <x v="8"/>
    <n v="2891240"/>
    <x v="1"/>
    <x v="388"/>
    <s v="Kelly Andrade dos Santos"/>
    <s v="11/06/2024"/>
    <d v="2024-12-06T00:00:00"/>
    <m/>
    <s v="Verificação Fiscal"/>
    <m/>
    <m/>
    <s v="2024/07/05 - UMC - UBERLANDIA MEDICAL CENTER"/>
    <m/>
    <x v="44"/>
    <d v="2024-06-12T00:00:00"/>
    <x v="0"/>
    <m/>
  </r>
  <r>
    <x v="9"/>
    <n v="2891383"/>
    <x v="1"/>
    <x v="387"/>
    <s v="Giseli Vieira de Sousa Santos"/>
    <s v="11/06/2024"/>
    <d v="2024-12-06T00:00:00"/>
    <m/>
    <s v="Verificação Fiscal"/>
    <m/>
    <m/>
    <s v="2024/06/18 - Oncovida"/>
    <m/>
    <x v="44"/>
    <d v="2024-06-12T00:00:00"/>
    <x v="0"/>
    <m/>
  </r>
  <r>
    <x v="6"/>
    <n v="2891420"/>
    <x v="1"/>
    <x v="387"/>
    <s v="Giseli Vieira de Sousa Santos"/>
    <s v="11/06/2024"/>
    <d v="2024-12-06T00:00:00"/>
    <m/>
    <s v="Verificação Fiscal"/>
    <m/>
    <m/>
    <s v="2024/06/18 - Oncovida"/>
    <m/>
    <x v="44"/>
    <d v="2024-06-12T00:00:00"/>
    <x v="0"/>
    <m/>
  </r>
  <r>
    <x v="11"/>
    <n v="2891427"/>
    <x v="1"/>
    <x v="386"/>
    <s v="Suellen Duarte da Silva"/>
    <s v="11/06/2024"/>
    <d v="2024-12-06T00:00:00"/>
    <m/>
    <s v="Verificação Fiscal"/>
    <m/>
    <m/>
    <s v="2024/06/18 - 05201 - Instituto Oncoclínicas de Pesquisa"/>
    <m/>
    <x v="44"/>
    <d v="2024-06-12T00:00:00"/>
    <x v="0"/>
    <m/>
  </r>
  <r>
    <x v="4"/>
    <n v="2891454"/>
    <x v="1"/>
    <x v="387"/>
    <s v="Giseli Vieira de Sousa Santos"/>
    <s v="11/06/2024"/>
    <d v="2024-12-06T00:00:00"/>
    <m/>
    <s v="Verificação Fiscal"/>
    <m/>
    <m/>
    <s v="2024/06/18 - Oncovida"/>
    <m/>
    <x v="44"/>
    <d v="2024-06-12T00:00:00"/>
    <x v="0"/>
    <m/>
  </r>
  <r>
    <x v="5"/>
    <n v="2891481"/>
    <x v="1"/>
    <x v="387"/>
    <s v="Giseli Vieira de Sousa Santos"/>
    <s v="11/06/2024"/>
    <d v="2024-12-06T00:00:00"/>
    <m/>
    <s v="Verificação Fiscal"/>
    <m/>
    <m/>
    <s v="2024/06/17 - Oncovida"/>
    <m/>
    <x v="44"/>
    <d v="2024-06-12T00:00:00"/>
    <x v="0"/>
    <m/>
  </r>
  <r>
    <x v="0"/>
    <n v="2891518"/>
    <x v="1"/>
    <x v="387"/>
    <s v="Giseli Vieira de Sousa Santos"/>
    <s v="11/06/2024"/>
    <d v="2024-12-06T00:00:00"/>
    <m/>
    <s v="Verificação Fiscal"/>
    <m/>
    <m/>
    <s v="2024/06/18 - CNU_DF – ANGARA"/>
    <m/>
    <x v="44"/>
    <d v="2024-06-12T00:00:00"/>
    <x v="0"/>
    <m/>
  </r>
  <r>
    <x v="11"/>
    <n v="2891576"/>
    <x v="1"/>
    <x v="386"/>
    <s v="Luciano Ramos da Silva"/>
    <s v="11/06/2024"/>
    <d v="2024-12-06T00:00:00"/>
    <m/>
    <s v="Verificação Fiscal"/>
    <m/>
    <m/>
    <s v="2024/07/05 - 01001 - CPO SP - Faria Lima (10º andar)"/>
    <m/>
    <x v="44"/>
    <d v="2024-06-12T00:00:00"/>
    <x v="0"/>
    <m/>
  </r>
  <r>
    <x v="11"/>
    <n v="2891668"/>
    <x v="1"/>
    <x v="386"/>
    <s v="Juliana Lopes Brito Gomes"/>
    <s v="11/06/2024"/>
    <d v="2024-12-06T00:00:00"/>
    <m/>
    <s v="Verificação Fiscal"/>
    <m/>
    <m/>
    <s v="2024/07/05 - 00105 - Oncocentro - BH"/>
    <m/>
    <x v="44"/>
    <d v="2024-06-12T00:00:00"/>
    <x v="0"/>
    <m/>
  </r>
  <r>
    <x v="11"/>
    <n v="2891673"/>
    <x v="1"/>
    <x v="386"/>
    <s v="Luciano Ramos da Silva"/>
    <s v="11/06/2024"/>
    <d v="2024-12-06T00:00:00"/>
    <m/>
    <s v="Verificação Fiscal"/>
    <m/>
    <m/>
    <s v="2024/06/21 - 01010 - CPO Zona Leste"/>
    <m/>
    <x v="44"/>
    <d v="2024-06-12T00:00:00"/>
    <x v="0"/>
    <m/>
  </r>
  <r>
    <x v="11"/>
    <n v="2891685"/>
    <x v="1"/>
    <x v="386"/>
    <s v="Luciano Ramos da Silva"/>
    <s v="11/06/2024"/>
    <d v="2024-12-06T00:00:00"/>
    <m/>
    <s v="Verificação Fiscal"/>
    <m/>
    <m/>
    <s v="2024/06/21 - 01002 - CPO SP - Higienópolis (2º andar)"/>
    <m/>
    <x v="44"/>
    <d v="2024-06-12T00:00:00"/>
    <x v="0"/>
    <m/>
  </r>
  <r>
    <x v="7"/>
    <n v="2891873"/>
    <x v="1"/>
    <x v="387"/>
    <s v="Erica Jacqueline De Oliveira Lopes"/>
    <s v="11/06/2024"/>
    <d v="2024-12-06T00:00:00"/>
    <m/>
    <s v="Verificação Fiscal"/>
    <m/>
    <m/>
    <s v="2024/06/20 - Hematologica - Matriz"/>
    <m/>
    <x v="44"/>
    <d v="2024-06-12T00:00:00"/>
    <x v="0"/>
    <m/>
  </r>
  <r>
    <x v="11"/>
    <n v="2891893"/>
    <x v="1"/>
    <x v="386"/>
    <s v="CLAIVER ROMEU MACHADO DA SILVA"/>
    <s v="11/06/2024"/>
    <d v="2024-12-06T00:00:00"/>
    <m/>
    <s v="Verificação Fiscal"/>
    <m/>
    <m/>
    <s v="2024/06/13 - 07701 - CLION RIO VERMELHO"/>
    <m/>
    <x v="44"/>
    <d v="2024-06-12T00:00:00"/>
    <x v="0"/>
    <m/>
  </r>
  <r>
    <x v="8"/>
    <n v="2891921"/>
    <x v="1"/>
    <x v="387"/>
    <s v="Erica Jacqueline De Oliveira Lopes"/>
    <s v="11/06/2024"/>
    <d v="2024-12-06T00:00:00"/>
    <m/>
    <s v="Verificação Fiscal"/>
    <m/>
    <m/>
    <s v="2024/06/20 - Hematologica - Matriz"/>
    <m/>
    <x v="44"/>
    <d v="2024-06-12T00:00:00"/>
    <x v="0"/>
    <m/>
  </r>
  <r>
    <x v="11"/>
    <n v="2891983"/>
    <x v="1"/>
    <x v="386"/>
    <s v="Milena Dos Santos Costa Vilela"/>
    <s v="11/06/2024"/>
    <d v="2024-12-06T00:00:00"/>
    <m/>
    <s v="Verificação Fiscal"/>
    <m/>
    <m/>
    <s v="2024/06/13 - 07301 - Hospital Doutor Marcos Moraes"/>
    <m/>
    <x v="44"/>
    <d v="2024-06-12T00:00:00"/>
    <x v="0"/>
    <m/>
  </r>
  <r>
    <x v="11"/>
    <n v="2891987"/>
    <x v="1"/>
    <x v="386"/>
    <s v="Maria Jose Vieira Da Silva"/>
    <s v="11/06/2024"/>
    <d v="2024-12-06T00:00:00"/>
    <m/>
    <s v="Verificação Fiscal"/>
    <m/>
    <m/>
    <s v="2024/06/14 - 09002 - Cettro - Taguantiga"/>
    <m/>
    <x v="44"/>
    <d v="2024-06-12T00:00:00"/>
    <x v="0"/>
    <m/>
  </r>
  <r>
    <x v="9"/>
    <n v="2892077"/>
    <x v="1"/>
    <x v="387"/>
    <s v="Ismael da Silva Miranda"/>
    <s v="11/06/2024"/>
    <d v="2024-12-06T00:00:00"/>
    <m/>
    <s v="Verificação Fiscal"/>
    <m/>
    <m/>
    <s v="2024/06/13 - CPO SP - Faria Lima (10º andar)"/>
    <m/>
    <x v="44"/>
    <d v="2024-06-12T00:00:00"/>
    <x v="0"/>
    <m/>
  </r>
  <r>
    <x v="6"/>
    <n v="2892130"/>
    <x v="1"/>
    <x v="387"/>
    <s v="Aldeane Cristina Merces De Lima"/>
    <s v="11/06/2024"/>
    <d v="2024-12-06T00:00:00"/>
    <m/>
    <s v="Verificação Fiscal"/>
    <m/>
    <m/>
    <s v="2024/06/12 - Sensumed"/>
    <m/>
    <x v="44"/>
    <d v="2024-06-12T00:00:00"/>
    <x v="0"/>
    <m/>
  </r>
  <r>
    <x v="4"/>
    <n v="2892148"/>
    <x v="1"/>
    <x v="387"/>
    <s v="Anna Paula Oliveira Silva"/>
    <s v="11/06/2024"/>
    <d v="2024-12-06T00:00:00"/>
    <m/>
    <s v="Verificação Fiscal"/>
    <m/>
    <m/>
    <s v="2024/06/14 - Onco Care Prudente"/>
    <m/>
    <x v="44"/>
    <d v="2024-06-12T00:00:00"/>
    <x v="0"/>
    <m/>
  </r>
  <r>
    <x v="5"/>
    <n v="2892187"/>
    <x v="1"/>
    <x v="387"/>
    <s v="Barbara Sebastiana De Sousa"/>
    <s v="11/06/2024"/>
    <d v="2024-12-06T00:00:00"/>
    <m/>
    <s v="Verificação Fiscal"/>
    <m/>
    <m/>
    <s v="2024/06/12 - CBR - Centro Brasileiro de Radioterapia Oncologia e Mastologia"/>
    <m/>
    <x v="44"/>
    <d v="2024-06-12T00:00:00"/>
    <x v="0"/>
    <m/>
  </r>
  <r>
    <x v="11"/>
    <n v="2892237"/>
    <x v="1"/>
    <x v="386"/>
    <s v="Joicelyn da Silva Oliveira Monteiro"/>
    <s v="11/06/2024"/>
    <d v="2024-12-06T00:00:00"/>
    <m/>
    <s v="Verificação Fiscal"/>
    <m/>
    <m/>
    <s v="2024/06/24 - 05201 - Instituto Oncoclínicas de Pesquisa"/>
    <m/>
    <x v="44"/>
    <d v="2024-06-12T00:00:00"/>
    <x v="0"/>
    <m/>
  </r>
  <r>
    <x v="0"/>
    <n v="2892260"/>
    <x v="1"/>
    <x v="387"/>
    <s v="Giseli Vieira de Sousa Santos"/>
    <s v="11/06/2024"/>
    <d v="2024-12-06T00:00:00"/>
    <m/>
    <s v="Verificação Fiscal"/>
    <m/>
    <m/>
    <s v="2024/06/18 - Aliança - Sandu"/>
    <m/>
    <x v="44"/>
    <d v="2024-06-12T00:00:00"/>
    <x v="0"/>
    <m/>
  </r>
  <r>
    <x v="7"/>
    <n v="2892480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8"/>
    <n v="2892526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9"/>
    <n v="2892580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6"/>
    <n v="2892596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4"/>
    <n v="2892601"/>
    <x v="1"/>
    <x v="387"/>
    <s v="Maria Jose Vieira Da Silva"/>
    <s v="11/06/2024"/>
    <d v="2024-12-06T00:00:00"/>
    <m/>
    <s v="Verificação Fiscal"/>
    <m/>
    <m/>
    <s v="2024/06/14 - Cettro - Asa Norte"/>
    <m/>
    <x v="44"/>
    <d v="2024-06-12T00:00:00"/>
    <x v="0"/>
    <m/>
  </r>
  <r>
    <x v="5"/>
    <n v="2892616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0"/>
    <n v="2892634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7"/>
    <n v="2892656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8"/>
    <n v="2892682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9"/>
    <n v="2892701"/>
    <x v="1"/>
    <x v="387"/>
    <s v="Maria Jose Vieira Da Silva"/>
    <s v="11/06/2024"/>
    <d v="2024-12-06T00:00:00"/>
    <m/>
    <s v="Verificação Fiscal"/>
    <m/>
    <m/>
    <s v="2024/06/17 - Cettro - Asa Norte"/>
    <m/>
    <x v="44"/>
    <d v="2024-06-12T00:00:00"/>
    <x v="0"/>
    <m/>
  </r>
  <r>
    <x v="6"/>
    <n v="2571751"/>
    <x v="1"/>
    <x v="389"/>
    <s v="Gutemberg Pereira De Lima"/>
    <s v="18/04/2024"/>
    <s v="prazo"/>
    <m/>
    <s v="Analisar vinculação do produto ao fornecedor"/>
    <m/>
    <m/>
    <s v="N - 07201 - BNO - Centro de Tratamento Radioterápico - Serviço"/>
    <m/>
    <x v="45"/>
    <d v="2024-06-12T00:00:00"/>
    <x v="0"/>
    <m/>
  </r>
  <r>
    <x v="4"/>
    <n v="2609812"/>
    <x v="1"/>
    <x v="23"/>
    <s v="Integrador Fluig"/>
    <s v="07/05/2024"/>
    <d v="2024-11-06T00:00:00"/>
    <m/>
    <s v="Vincular produto ao fornecedor"/>
    <m/>
    <m/>
    <s v="04801 - JURA COMERCIO, IMPORTACAO E SERVICOS LTDA"/>
    <m/>
    <x v="43"/>
    <d v="2024-06-12T00:00:00"/>
    <x v="0"/>
    <m/>
  </r>
  <r>
    <x v="5"/>
    <n v="2609815"/>
    <x v="1"/>
    <x v="23"/>
    <s v="Integrador Fluig"/>
    <s v="07/05/2024"/>
    <d v="2024-11-06T00:00:00"/>
    <m/>
    <s v="Vincular produto ao fornecedor"/>
    <m/>
    <m/>
    <s v="04801 - JURA COMERCIO, IMPORTACAO E SERVICOS LTDA"/>
    <m/>
    <x v="43"/>
    <d v="2024-06-12T00:00:00"/>
    <x v="0"/>
    <m/>
  </r>
  <r>
    <x v="0"/>
    <n v="2647073"/>
    <x v="1"/>
    <x v="390"/>
    <s v="Andre Vieira Candeias de Castro"/>
    <s v="14/05/2024"/>
    <s v="prazo"/>
    <m/>
    <s v="Analisar vinculação do produto ao fornecedor"/>
    <m/>
    <m/>
    <s v="N - 00104 - Holding - SP - Serviço"/>
    <m/>
    <x v="45"/>
    <d v="2024-06-12T00:00:00"/>
    <x v="0"/>
    <m/>
  </r>
  <r>
    <x v="7"/>
    <n v="2667813"/>
    <x v="1"/>
    <x v="389"/>
    <s v="Samantha de Souza Santos"/>
    <s v="15/05/2024"/>
    <s v="prazo"/>
    <m/>
    <s v="Analisar vinculação do produto ao fornecedor"/>
    <m/>
    <m/>
    <s v="N - 07401 - UMC - UBERLANDIA MEDICAL CENTER - Material"/>
    <m/>
    <x v="45"/>
    <d v="2024-06-12T00:00:00"/>
    <x v="0"/>
    <m/>
  </r>
  <r>
    <x v="8"/>
    <n v="2720150"/>
    <x v="1"/>
    <x v="389"/>
    <s v="Bruno Leandro Moura"/>
    <s v="17/05/2024"/>
    <s v="prazo"/>
    <m/>
    <s v="Analisar vinculação do produto ao fornecedor"/>
    <m/>
    <m/>
    <s v="N - 07103 - Cebrom Anápolis - Material"/>
    <m/>
    <x v="45"/>
    <d v="2024-06-12T00:00:00"/>
    <x v="0"/>
    <m/>
  </r>
  <r>
    <x v="9"/>
    <n v="2720437"/>
    <x v="1"/>
    <x v="389"/>
    <s v="Bruno Leandro Moura"/>
    <s v="17/05/2024"/>
    <s v="prazo"/>
    <m/>
    <s v="Analisar vinculação do produto ao fornecedor"/>
    <m/>
    <m/>
    <s v="N - 07201 - BNO - Centro de Tratamento Radioterápico - Material"/>
    <m/>
    <x v="45"/>
    <d v="2024-06-12T00:00:00"/>
    <x v="0"/>
    <m/>
  </r>
  <r>
    <x v="6"/>
    <n v="2722044"/>
    <x v="1"/>
    <x v="389"/>
    <s v="Bruno Leandro Moura"/>
    <s v="17/05/2024"/>
    <s v="prazo"/>
    <m/>
    <s v="Analisar vinculação do produto ao fornecedor"/>
    <m/>
    <m/>
    <s v="N - 07101 - CBR - Centro Brasileiro de Radioterapia Oncologia e Mastologia - Material"/>
    <m/>
    <x v="45"/>
    <d v="2024-06-12T00:00:00"/>
    <x v="0"/>
    <m/>
  </r>
  <r>
    <x v="4"/>
    <n v="2722300"/>
    <x v="1"/>
    <x v="389"/>
    <s v="Bruno Leandro Moura"/>
    <s v="17/05/2024"/>
    <s v="prazo"/>
    <m/>
    <s v="Analisar vinculação do produto ao fornecedor"/>
    <m/>
    <m/>
    <s v="N - 08101 - RT ANÁPOLIS - Material"/>
    <m/>
    <x v="45"/>
    <d v="2024-06-12T00:00:00"/>
    <x v="0"/>
    <m/>
  </r>
  <r>
    <x v="5"/>
    <n v="2726055"/>
    <x v="1"/>
    <x v="389"/>
    <s v="Emely Morgana Castro Sampaio"/>
    <s v="17/05/2024"/>
    <s v="prazo"/>
    <m/>
    <s v="Analisar vinculação do produto ao fornecedor"/>
    <m/>
    <m/>
    <s v="N - 07101 - CBR - Centro Brasileiro de Radioterapia Oncologia e Mastologia - Serviço"/>
    <m/>
    <x v="45"/>
    <d v="2024-06-12T00:00:00"/>
    <x v="0"/>
    <m/>
  </r>
  <r>
    <x v="0"/>
    <n v="2859724"/>
    <x v="1"/>
    <x v="389"/>
    <s v="Rosirlei Ribeiro de Andrade"/>
    <s v="27/05/2024"/>
    <s v="prazo"/>
    <m/>
    <s v="Analisar vinculação do produto ao fornecedor"/>
    <m/>
    <m/>
    <s v="N - 07401 - UMC - UBERLANDIA MEDICAL CENTER - Material"/>
    <m/>
    <x v="45"/>
    <d v="2024-06-12T00:00:00"/>
    <x v="0"/>
    <m/>
  </r>
  <r>
    <x v="7"/>
    <n v="2861113"/>
    <x v="1"/>
    <x v="389"/>
    <s v="Bruno Leandro Moura"/>
    <s v="27/05/2024"/>
    <s v="prazo"/>
    <m/>
    <s v="Analisar vinculação do produto ao fornecedor"/>
    <m/>
    <m/>
    <s v="N - 00104 - Holding - SP - Material"/>
    <m/>
    <x v="45"/>
    <d v="2024-06-12T00:00:00"/>
    <x v="0"/>
    <m/>
  </r>
  <r>
    <x v="8"/>
    <n v="2861181"/>
    <x v="1"/>
    <x v="389"/>
    <s v="Tiago Ferreira de Assis"/>
    <s v="27/05/2024"/>
    <s v="prazo"/>
    <m/>
    <s v="Analisar vinculação do produto ao fornecedor"/>
    <m/>
    <m/>
    <s v="E - 07603 - CAM LAURO DE FREITAS - Serviço"/>
    <m/>
    <x v="45"/>
    <d v="2024-06-12T00:00:00"/>
    <x v="0"/>
    <m/>
  </r>
  <r>
    <x v="9"/>
    <n v="2862171"/>
    <x v="1"/>
    <x v="389"/>
    <s v="Rosirlei Ribeiro de Andrade"/>
    <s v="28/05/2024"/>
    <s v="prazo"/>
    <m/>
    <s v="Analisar vinculação do produto ao fornecedor"/>
    <m/>
    <m/>
    <s v="N - 07401 - UMC - UBERLANDIA MEDICAL CENTER - Material"/>
    <m/>
    <x v="45"/>
    <d v="2024-06-12T00:00:00"/>
    <x v="0"/>
    <m/>
  </r>
  <r>
    <x v="6"/>
    <n v="2862458"/>
    <x v="1"/>
    <x v="389"/>
    <s v="Aretha Machado Aguiar Floriano Peixoto"/>
    <s v="28/05/2024"/>
    <s v="prazo"/>
    <m/>
    <s v="Analisar vinculação do produto ao fornecedor"/>
    <m/>
    <m/>
    <s v="E - 06601 - Hospital Vila da Serra - Serviço"/>
    <m/>
    <x v="45"/>
    <d v="2024-06-12T00:00:00"/>
    <x v="0"/>
    <m/>
  </r>
  <r>
    <x v="4"/>
    <n v="2869876"/>
    <x v="1"/>
    <x v="23"/>
    <s v="Integrador Fluig"/>
    <s v="03/06/2024"/>
    <d v="2024-10-06T00:00:00"/>
    <m/>
    <s v="Vincular produto ao fornecedor"/>
    <m/>
    <m/>
    <s v="09101 - RAFAEL TRINDADE GIL 01559318066"/>
    <m/>
    <x v="46"/>
    <d v="2024-06-12T00:00:00"/>
    <x v="0"/>
    <m/>
  </r>
  <r>
    <x v="5"/>
    <n v="2871826"/>
    <x v="1"/>
    <x v="391"/>
    <s v="Viviane Rodrigues Pinheiro"/>
    <s v="03/06/2024"/>
    <d v="2024-12-06T00:00:00"/>
    <m/>
    <s v="Preencher dados fiscais, listar produtos/serviços, conferir dados bancários"/>
    <m/>
    <m/>
    <s v="3 Junho, 2024 - Viviane Rodrigues Pinheiro"/>
    <m/>
    <x v="44"/>
    <d v="2024-06-12T00:00:00"/>
    <x v="0"/>
    <m/>
  </r>
  <r>
    <x v="0"/>
    <n v="2872462"/>
    <x v="1"/>
    <x v="389"/>
    <s v="Ana Carolina Belo da Silva Silveira"/>
    <s v="03/06/2024"/>
    <s v="prazo"/>
    <m/>
    <s v="Analisar vinculação do produto ao fornecedor"/>
    <m/>
    <m/>
    <s v="N - 02201 - CECON - Material"/>
    <m/>
    <x v="45"/>
    <d v="2024-06-12T00:00:00"/>
    <x v="0"/>
    <m/>
  </r>
  <r>
    <x v="7"/>
    <n v="2873244"/>
    <x v="1"/>
    <x v="23"/>
    <s v="Integrador Fluig"/>
    <s v="03/06/2024"/>
    <d v="2024-10-06T00:00:00"/>
    <m/>
    <s v="Vincular produto ao fornecedor"/>
    <m/>
    <m/>
    <s v="07401 - NORTEL SUPRIMENTOS INDUSTRIAIS LTDA"/>
    <m/>
    <x v="46"/>
    <d v="2024-06-12T00:00:00"/>
    <x v="0"/>
    <m/>
  </r>
  <r>
    <x v="8"/>
    <n v="2879732"/>
    <x v="1"/>
    <x v="23"/>
    <s v="Integrador Fluig"/>
    <s v="05/06/2024"/>
    <d v="2024-11-06T00:00:00"/>
    <m/>
    <s v="Vincular produto ao fornecedor"/>
    <m/>
    <m/>
    <s v="07401 - RDI BENDER INDUSTRIA ELETRICA LTDA"/>
    <m/>
    <x v="43"/>
    <d v="2024-06-12T00:00:00"/>
    <x v="0"/>
    <m/>
  </r>
  <r>
    <x v="9"/>
    <n v="2882599"/>
    <x v="1"/>
    <x v="23"/>
    <s v="Integrador Fluig"/>
    <s v="06/06/2024"/>
    <d v="2024-11-06T00:00:00"/>
    <m/>
    <s v="Vincular produto ao fornecedor"/>
    <m/>
    <m/>
    <s v="00107 - ELEVADORES ALPHA LTDA - EPP"/>
    <m/>
    <x v="43"/>
    <d v="2024-06-12T00:00:00"/>
    <x v="0"/>
    <m/>
  </r>
  <r>
    <x v="6"/>
    <n v="2882753"/>
    <x v="1"/>
    <x v="23"/>
    <s v="Integrador Fluig"/>
    <s v="06/06/2024"/>
    <d v="2024-10-06T00:00:00"/>
    <m/>
    <s v="Vincular produto ao fornecedor"/>
    <m/>
    <m/>
    <s v="07401 - HARUS INDUSTRIA E COMERCIO DE COSMETICOS LTDA"/>
    <m/>
    <x v="46"/>
    <d v="2024-06-12T00:00:00"/>
    <x v="0"/>
    <m/>
  </r>
  <r>
    <x v="4"/>
    <n v="2883546"/>
    <x v="1"/>
    <x v="23"/>
    <s v="Integrador Fluig"/>
    <s v="07/06/2024"/>
    <d v="2024-10-06T00:00:00"/>
    <m/>
    <s v="Vincular produto ao fornecedor"/>
    <m/>
    <m/>
    <s v="10201 - VISTA COMERCIO E INSTALACOES DE EQUIPAMENTOS DE SEGURANCA LTDA"/>
    <m/>
    <x v="46"/>
    <d v="2024-06-12T00:00:00"/>
    <x v="0"/>
    <m/>
  </r>
  <r>
    <x v="5"/>
    <n v="2885300"/>
    <x v="1"/>
    <x v="23"/>
    <s v="Integrador Fluig"/>
    <s v="07/06/2024"/>
    <d v="2024-11-06T00:00:00"/>
    <m/>
    <s v="Vincular produto ao fornecedor"/>
    <m/>
    <m/>
    <s v="07401 - MIDIAPEL PAPELARIA E INFORMATICA LTDA"/>
    <m/>
    <x v="43"/>
    <d v="2024-06-12T00:00:00"/>
    <x v="0"/>
    <m/>
  </r>
  <r>
    <x v="0"/>
    <n v="2888379"/>
    <x v="1"/>
    <x v="23"/>
    <s v="Integrador Fluig"/>
    <s v="10/06/2024"/>
    <d v="2024-11-06T00:00:00"/>
    <m/>
    <s v="Vincular produto ao fornecedor"/>
    <m/>
    <m/>
    <s v="07401 - VANESSA AZEVEDO DA SILVA 10924312688"/>
    <m/>
    <x v="43"/>
    <d v="2024-06-12T00:00:00"/>
    <x v="0"/>
    <m/>
  </r>
  <r>
    <x v="7"/>
    <n v="2888624"/>
    <x v="1"/>
    <x v="23"/>
    <s v="Integrador Fluig"/>
    <s v="10/06/2024"/>
    <d v="2024-11-06T00:00:00"/>
    <m/>
    <s v="Vincular produto ao fornecedor"/>
    <m/>
    <m/>
    <s v="01009 - ARTIMAGE INDUSTRIA E COMERCIO LTDA"/>
    <m/>
    <x v="43"/>
    <d v="2024-06-12T00:00:00"/>
    <x v="0"/>
    <m/>
  </r>
  <r>
    <x v="8"/>
    <n v="2888718"/>
    <x v="1"/>
    <x v="23"/>
    <s v="Integrador Fluig"/>
    <s v="10/06/2024"/>
    <d v="2024-11-06T00:00:00"/>
    <m/>
    <s v="Vincular produto ao fornecedor"/>
    <m/>
    <m/>
    <s v="01009 - ARTIMAGE INDUSTRIA E COMERCIO LTDA"/>
    <m/>
    <x v="43"/>
    <d v="2024-06-12T00:00:00"/>
    <x v="0"/>
    <m/>
  </r>
  <r>
    <x v="9"/>
    <n v="2888736"/>
    <x v="1"/>
    <x v="23"/>
    <s v="Integrador Fluig"/>
    <s v="10/06/2024"/>
    <d v="2024-12-06T00:00:00"/>
    <m/>
    <s v="Vincular produto ao fornecedor"/>
    <m/>
    <m/>
    <s v="00104 - DANIELE BRUNO MATOS CONSULTORIA DE RH"/>
    <m/>
    <x v="44"/>
    <d v="2024-06-12T00:00:00"/>
    <x v="0"/>
    <m/>
  </r>
  <r>
    <x v="6"/>
    <n v="2889512"/>
    <x v="1"/>
    <x v="23"/>
    <s v="Integrador Fluig"/>
    <s v="10/06/2024"/>
    <d v="2024-11-06T00:00:00"/>
    <m/>
    <s v="Vincular produto ao fornecedor"/>
    <m/>
    <m/>
    <s v="07401 - DUAL CLIMA INDUSTRIA E COMERCIO DE COMPONENTES PARA AR CONDICIONADO LTDA"/>
    <m/>
    <x v="43"/>
    <d v="2024-06-12T00:00:00"/>
    <x v="0"/>
    <m/>
  </r>
  <r>
    <x v="4"/>
    <n v="2890014"/>
    <x v="1"/>
    <x v="391"/>
    <s v="Jaqueline Ferreira Da Silva"/>
    <s v="10/06/2024"/>
    <d v="2024-11-06T00:00:00"/>
    <m/>
    <s v="Preencher dados fiscais, listar produtos/serviços, conferir dados bancários"/>
    <m/>
    <m/>
    <s v="10 Junho, 2024 - Jaqueline Ferreira Da Silva"/>
    <m/>
    <x v="43"/>
    <d v="2024-06-12T00:00:00"/>
    <x v="0"/>
    <m/>
  </r>
  <r>
    <x v="5"/>
    <n v="2891302"/>
    <x v="1"/>
    <x v="391"/>
    <s v="Milena Dos Santos Costa Vilela"/>
    <s v="11/06/2024"/>
    <d v="2024-11-06T00:00:00"/>
    <m/>
    <s v="Preencher dados fiscais, listar produtos/serviços, conferir dados bancários"/>
    <m/>
    <m/>
    <s v="11 Junho, 2024 - Milena Dos Santos Costa Vilela"/>
    <m/>
    <x v="43"/>
    <d v="2024-06-12T00:00:00"/>
    <x v="0"/>
    <m/>
  </r>
  <r>
    <x v="0"/>
    <n v="2891361"/>
    <x v="1"/>
    <x v="391"/>
    <s v="Fabiana da Silva Oliveira"/>
    <s v="11/06/2024"/>
    <d v="2024-11-06T00:00:00"/>
    <m/>
    <s v="Preencher dados fiscais, listar produtos/serviços, conferir dados bancários"/>
    <m/>
    <m/>
    <s v="11 Junho, 2024 - Fabiana da Silva Oliveira"/>
    <m/>
    <x v="43"/>
    <d v="2024-06-12T00:00:00"/>
    <x v="0"/>
    <m/>
  </r>
  <r>
    <x v="7"/>
    <n v="2892177"/>
    <x v="1"/>
    <x v="391"/>
    <s v="Milena Dos Santos Costa Vilela"/>
    <s v="11/06/2024"/>
    <d v="2024-12-06T00:00:00"/>
    <m/>
    <s v="Preencher dados fiscais, listar produtos/serviços, conferir dados bancários"/>
    <m/>
    <m/>
    <s v="11 Junho, 2024 - Milena Dos Santos Costa Vilela"/>
    <m/>
    <x v="44"/>
    <d v="2024-06-12T00:00:00"/>
    <x v="0"/>
    <m/>
  </r>
  <r>
    <x v="8"/>
    <n v="2486206"/>
    <x v="1"/>
    <x v="392"/>
    <s v="Fabio Silva de Oliveira"/>
    <s v="06/03/2024"/>
    <s v="14/06/2024"/>
    <m/>
    <s v="Emitir NFA/Declaração"/>
    <m/>
    <m/>
    <s v="6 Março, 2024 - Fabio Silva de Oliveira"/>
    <m/>
    <x v="19"/>
    <d v="2024-06-12T00:00:00"/>
    <x v="0"/>
    <m/>
  </r>
  <r>
    <x v="6"/>
    <n v="2578313"/>
    <x v="1"/>
    <x v="392"/>
    <s v="Thiago Fernandes Costa"/>
    <s v="22/04/2024"/>
    <s v="13/06/2024"/>
    <m/>
    <s v="Emitir NFA/Declaração"/>
    <m/>
    <m/>
    <s v="22 Abril, 2024 - Thiago Fernandes Costa"/>
    <m/>
    <x v="21"/>
    <d v="2024-06-12T00:00:00"/>
    <x v="0"/>
    <m/>
  </r>
  <r>
    <x v="4"/>
    <n v="2627244"/>
    <x v="1"/>
    <x v="392"/>
    <s v="Washington Mota De Oliveira"/>
    <s v="13/05/2024"/>
    <d v="2024-12-06T00:00:00"/>
    <m/>
    <s v="Emitir NFA/Declaração"/>
    <m/>
    <m/>
    <s v="13 Maio, 2024 - Washington Mota De Oliveira"/>
    <m/>
    <x v="44"/>
    <d v="2024-06-12T00:00:00"/>
    <x v="0"/>
    <m/>
  </r>
  <r>
    <x v="5"/>
    <n v="2856616"/>
    <x v="1"/>
    <x v="392"/>
    <s v="Thiago Fernandes Costa"/>
    <s v="24/05/2024"/>
    <s v="17/06/2024"/>
    <m/>
    <s v="Emitir NFA/Declaração"/>
    <m/>
    <m/>
    <s v="24 Maio, 2024 - Thiago Fernandes Costa"/>
    <m/>
    <x v="26"/>
    <d v="2024-06-12T00:00:00"/>
    <x v="0"/>
    <m/>
  </r>
  <r>
    <x v="0"/>
    <n v="2859811"/>
    <x v="1"/>
    <x v="24"/>
    <s v="Ana Vitoria Oleniki Batista"/>
    <s v="27/05/2024"/>
    <s v="13/06/2024"/>
    <m/>
    <s v="Analisar/Atender Solicitação"/>
    <m/>
    <m/>
    <s v="N - IHOC - Envio de nota fiscal de devolução Tasy e Diversos "/>
    <m/>
    <x v="21"/>
    <d v="2024-06-12T00:00:00"/>
    <x v="0"/>
    <m/>
  </r>
  <r>
    <x v="7"/>
    <n v="2859823"/>
    <x v="1"/>
    <x v="24"/>
    <s v="Ana Vitoria Oleniki Batista"/>
    <s v="27/05/2024"/>
    <s v="13/06/2024"/>
    <m/>
    <s v="Analisar/Atender Solicitação"/>
    <m/>
    <m/>
    <s v="N - IHOC - Envio de nota fiscal de devolução Tasy e Diversos "/>
    <m/>
    <x v="21"/>
    <d v="2024-06-12T00:00:00"/>
    <x v="0"/>
    <m/>
  </r>
  <r>
    <x v="8"/>
    <n v="2877207"/>
    <x v="1"/>
    <x v="24"/>
    <s v="Amanda Silva Dos Santos"/>
    <s v="05/06/2024"/>
    <d v="2024-12-06T00:00:00"/>
    <m/>
    <s v="Solução de Inconsistência"/>
    <m/>
    <m/>
    <s v="N - Medquimheo - Matriz - Envio de nota fiscal de devolução Tasy e Diversos "/>
    <m/>
    <x v="44"/>
    <d v="2024-06-12T00:00:00"/>
    <x v="0"/>
    <m/>
  </r>
  <r>
    <x v="9"/>
    <n v="2877304"/>
    <x v="1"/>
    <x v="24"/>
    <s v="Amanda Silva Dos Santos"/>
    <s v="05/06/2024"/>
    <d v="2024-12-06T00:00:00"/>
    <m/>
    <s v="Solução de Inconsistência"/>
    <m/>
    <m/>
    <s v="N - Medquimheo - Matriz - Envio de nota fiscal de devolução Tasy e Diversos "/>
    <m/>
    <x v="44"/>
    <d v="2024-06-12T00:00:00"/>
    <x v="0"/>
    <m/>
  </r>
  <r>
    <x v="6"/>
    <n v="2878149"/>
    <x v="1"/>
    <x v="24"/>
    <s v="Adriana dos Santos Sant anna"/>
    <s v="05/06/2024"/>
    <s v="13/06/2024"/>
    <m/>
    <s v="Analisar/Atender Solicitação"/>
    <m/>
    <m/>
    <s v="N - ONCOCLINICAS (CTO IPANEMA) - Envio de nota fiscal de devolução Tasy e Diversos "/>
    <m/>
    <x v="21"/>
    <d v="2024-06-12T00:00:00"/>
    <x v="0"/>
    <m/>
  </r>
  <r>
    <x v="4"/>
    <n v="2880752"/>
    <x v="1"/>
    <x v="24"/>
    <s v="Higor Santana da Silva"/>
    <s v="06/06/2024"/>
    <s v="13/06/2024"/>
    <m/>
    <s v="Analisar/Atender Solicitação"/>
    <m/>
    <m/>
    <s v="N - CNU_DF – ANGARA - Envio de nota fiscal de devolução Tasy e Diversos "/>
    <m/>
    <x v="21"/>
    <d v="2024-06-12T00:00:00"/>
    <x v="0"/>
    <m/>
  </r>
  <r>
    <x v="5"/>
    <n v="2881536"/>
    <x v="1"/>
    <x v="393"/>
    <s v="Lucas Amorim de Sousa Furtado"/>
    <s v="06/06/2024"/>
    <s v="13/06/2024"/>
    <m/>
    <s v="Classificação Fiscal"/>
    <m/>
    <m/>
    <s v="11 Junho, 2024 - Ingrid Daiane dos Santos Costa"/>
    <m/>
    <x v="21"/>
    <d v="2024-06-12T00:00:00"/>
    <x v="0"/>
    <m/>
  </r>
  <r>
    <x v="0"/>
    <n v="2884549"/>
    <x v="1"/>
    <x v="393"/>
    <s v="Lucas Amorim de Sousa Furtado"/>
    <s v="07/06/2024"/>
    <d v="2024-11-06T00:00:00"/>
    <m/>
    <s v="Classificação Fiscal"/>
    <m/>
    <m/>
    <s v="11 Junho, 2024 - Ingrid Daiane dos Santos Costa"/>
    <m/>
    <x v="43"/>
    <d v="2024-06-12T00:00:00"/>
    <x v="0"/>
    <m/>
  </r>
  <r>
    <x v="7"/>
    <n v="2884652"/>
    <x v="1"/>
    <x v="393"/>
    <s v="Lucas Amorim de Sousa Furtado"/>
    <s v="07/06/2024"/>
    <d v="2024-11-06T00:00:00"/>
    <m/>
    <s v="Classificação Fiscal"/>
    <m/>
    <m/>
    <s v="11 Junho, 2024 - Ingrid Daiane dos Santos Costa"/>
    <m/>
    <x v="43"/>
    <d v="2024-06-12T00:00:00"/>
    <x v="0"/>
    <m/>
  </r>
  <r>
    <x v="8"/>
    <n v="2884712"/>
    <x v="1"/>
    <x v="393"/>
    <s v="Lucas Amorim de Sousa Furtado"/>
    <s v="07/06/2024"/>
    <d v="2024-11-06T00:00:00"/>
    <m/>
    <s v="Classificação Fiscal"/>
    <m/>
    <m/>
    <s v="11 Junho, 2024 - Ingrid Daiane dos Santos Costa"/>
    <m/>
    <x v="43"/>
    <d v="2024-06-12T00:00:00"/>
    <x v="0"/>
    <m/>
  </r>
  <r>
    <x v="9"/>
    <n v="2884865"/>
    <x v="1"/>
    <x v="393"/>
    <s v="Lucas Amorim de Sousa Furtado"/>
    <s v="07/06/2024"/>
    <d v="2024-11-06T00:00:00"/>
    <m/>
    <s v="Classificação Fiscal"/>
    <m/>
    <m/>
    <s v="11 Junho, 2024 - Ingrid Daiane dos Santos Costa"/>
    <m/>
    <x v="43"/>
    <d v="2024-06-12T00:00:00"/>
    <x v="0"/>
    <m/>
  </r>
  <r>
    <x v="6"/>
    <n v="2888250"/>
    <x v="1"/>
    <x v="24"/>
    <s v="Renato Pereira de Oliveira"/>
    <s v="10/06/2024"/>
    <s v="17/06/2024"/>
    <m/>
    <s v="Analisar/Atender Solicitação"/>
    <m/>
    <m/>
    <s v="N - Hematologica - Matriz - Verificação de emissão de NFA"/>
    <m/>
    <x v="26"/>
    <d v="2024-06-12T00:00:00"/>
    <x v="0"/>
    <m/>
  </r>
  <r>
    <x v="4"/>
    <n v="2889412"/>
    <x v="1"/>
    <x v="394"/>
    <s v="Joao Carlos Santos Batista"/>
    <s v="10/06/2024"/>
    <s v="14/06/2024"/>
    <m/>
    <s v="Anexa Nota Fiscal Avulsa"/>
    <m/>
    <m/>
    <s v="11 Junho, 2024 - Sabrina Coimbra e Silva Marcos"/>
    <m/>
    <x v="19"/>
    <d v="2024-06-12T00:00:00"/>
    <x v="0"/>
    <m/>
  </r>
  <r>
    <x v="5"/>
    <n v="2889506"/>
    <x v="1"/>
    <x v="392"/>
    <s v="Nilmar Dos Santos Cortes"/>
    <s v="10/06/2024"/>
    <s v="13/06/2024"/>
    <m/>
    <s v="Emitir NFA/Declaração"/>
    <m/>
    <m/>
    <s v="10 Junho, 2024 - Nilmar Dos Santos Cortes"/>
    <m/>
    <x v="21"/>
    <d v="2024-06-12T00:00:00"/>
    <x v="0"/>
    <m/>
  </r>
  <r>
    <x v="0"/>
    <n v="2889551"/>
    <x v="1"/>
    <x v="392"/>
    <s v="Drielle Vanessa Caldeira da Rosa"/>
    <s v="10/06/2024"/>
    <s v="17/06/2024"/>
    <m/>
    <s v="Emitir NFA/Declaração"/>
    <m/>
    <m/>
    <s v="10 Junho, 2024 - Drielle Vanessa Caldeira da Rosa"/>
    <m/>
    <x v="26"/>
    <d v="2024-06-12T00:00:00"/>
    <x v="0"/>
    <m/>
  </r>
  <r>
    <x v="7"/>
    <n v="2889593"/>
    <x v="1"/>
    <x v="394"/>
    <s v="Nilmar Dos Santos Cortes"/>
    <s v="10/06/2024"/>
    <s v="14/06/2024"/>
    <m/>
    <s v="Anexa Nota Fiscal Avulsa"/>
    <m/>
    <m/>
    <s v="10 Junho, 2024 - Nilmar Dos Santos Cortes"/>
    <m/>
    <x v="19"/>
    <d v="2024-06-12T00:00:00"/>
    <x v="0"/>
    <m/>
  </r>
  <r>
    <x v="8"/>
    <n v="2890851"/>
    <x v="1"/>
    <x v="394"/>
    <s v="Ezequiel Santos Da Silva"/>
    <s v="11/06/2024"/>
    <s v="17/06/2024"/>
    <m/>
    <s v="Anexa Nota Fiscal Avulsa"/>
    <m/>
    <m/>
    <s v="11 Junho, 2024 - Ezequiel Santos Da Silva"/>
    <m/>
    <x v="26"/>
    <d v="2024-06-12T00:00:00"/>
    <x v="0"/>
    <m/>
  </r>
  <r>
    <x v="9"/>
    <n v="2891690"/>
    <x v="1"/>
    <x v="392"/>
    <s v="Julia Cristina Santos"/>
    <s v="11/06/2024"/>
    <s v="14/06/2024"/>
    <m/>
    <s v="Emitir NFA/Declaração"/>
    <m/>
    <m/>
    <s v="11 Junho, 2024 - Julia Cristina Santos"/>
    <m/>
    <x v="19"/>
    <d v="2024-06-12T00:00:00"/>
    <x v="0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  <r>
    <x v="12"/>
    <m/>
    <x v="2"/>
    <x v="395"/>
    <m/>
    <m/>
    <m/>
    <m/>
    <m/>
    <m/>
    <m/>
    <m/>
    <m/>
    <x v="47"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CFF13E-F984-431F-ADF1-CE1487CD5DCB}" name="Tabela dinâmica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G10:L12" firstHeaderRow="1" firstDataRow="2" firstDataCol="1"/>
  <pivotFields count="17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05">
        <item m="1" x="98"/>
        <item m="1" x="101"/>
        <item m="1" x="51"/>
        <item m="1" x="75"/>
        <item m="1" x="97"/>
        <item m="1" x="99"/>
        <item m="1" x="70"/>
        <item m="1" x="100"/>
        <item x="6"/>
        <item m="1" x="77"/>
        <item x="8"/>
        <item m="1" x="56"/>
        <item m="1" x="76"/>
        <item x="10"/>
        <item x="9"/>
        <item h="1" x="11"/>
        <item h="1" x="21"/>
        <item h="1" x="19"/>
        <item h="1" x="26"/>
        <item h="1" x="25"/>
        <item h="1" x="27"/>
        <item h="1" x="22"/>
        <item h="1" x="20"/>
        <item h="1" x="18"/>
        <item h="1" x="24"/>
        <item h="1" x="17"/>
        <item h="1" x="29"/>
        <item h="1" x="16"/>
        <item h="1" x="31"/>
        <item h="1" x="23"/>
        <item h="1" x="32"/>
        <item h="1" x="37"/>
        <item h="1" x="30"/>
        <item h="1" x="34"/>
        <item h="1" m="1" x="60"/>
        <item h="1" x="28"/>
        <item h="1" x="33"/>
        <item h="1" m="1" x="63"/>
        <item h="1" x="35"/>
        <item h="1" m="1" x="81"/>
        <item h="1" m="1" x="91"/>
        <item h="1" x="39"/>
        <item h="1" m="1" x="102"/>
        <item h="1" m="1" x="103"/>
        <item h="1" x="47"/>
        <item h="1" m="1" x="87"/>
        <item h="1" m="1" x="88"/>
        <item h="1" m="1" x="48"/>
        <item h="1" m="1" x="79"/>
        <item h="1" x="5"/>
        <item h="1" m="1" x="55"/>
        <item h="1" x="14"/>
        <item h="1" m="1" x="89"/>
        <item h="1" x="2"/>
        <item h="1" m="1" x="57"/>
        <item h="1" m="1" x="52"/>
        <item h="1" m="1" x="69"/>
        <item h="1" m="1" x="54"/>
        <item h="1" m="1" x="82"/>
        <item h="1" m="1" x="94"/>
        <item h="1" m="1" x="95"/>
        <item h="1" m="1" x="90"/>
        <item h="1" x="38"/>
        <item h="1" m="1" x="92"/>
        <item h="1" m="1" x="65"/>
        <item h="1" m="1" x="93"/>
        <item h="1" m="1" x="96"/>
        <item h="1" m="1" x="73"/>
        <item h="1" m="1" x="74"/>
        <item h="1" x="12"/>
        <item h="1" m="1" x="71"/>
        <item h="1" x="3"/>
        <item h="1" m="1" x="78"/>
        <item h="1" m="1" x="80"/>
        <item h="1" m="1" x="61"/>
        <item h="1" x="42"/>
        <item h="1" x="36"/>
        <item h="1" x="41"/>
        <item h="1" m="1" x="83"/>
        <item h="1" m="1" x="84"/>
        <item h="1" m="1" x="85"/>
        <item h="1" m="1" x="86"/>
        <item h="1" m="1" x="53"/>
        <item h="1" m="1" x="50"/>
        <item h="1" m="1" x="72"/>
        <item h="1" m="1" x="62"/>
        <item h="1" m="1" x="49"/>
        <item h="1" m="1" x="58"/>
        <item h="1" m="1" x="59"/>
        <item h="1" m="1" x="64"/>
        <item h="1" m="1" x="66"/>
        <item h="1" m="1" x="67"/>
        <item h="1" m="1" x="68"/>
        <item h="1" x="45"/>
        <item h="1" x="0"/>
        <item h="1" x="1"/>
        <item h="1" x="4"/>
        <item h="1" x="7"/>
        <item h="1" x="13"/>
        <item h="1" x="15"/>
        <item h="1" x="40"/>
        <item h="1" x="44"/>
        <item h="1" x="43"/>
        <item h="1" x="46"/>
        <item t="default"/>
      </items>
    </pivotField>
    <pivotField showAll="0"/>
    <pivotField showAll="0"/>
    <pivotField showAll="0"/>
  </pivotFields>
  <rowItems count="1">
    <i/>
  </rowItems>
  <colFields count="1">
    <field x="13"/>
  </colFields>
  <colItems count="5">
    <i>
      <x v="8"/>
    </i>
    <i>
      <x v="10"/>
    </i>
    <i>
      <x v="13"/>
    </i>
    <i>
      <x v="14"/>
    </i>
    <i t="grand">
      <x/>
    </i>
  </colItems>
  <dataFields count="1">
    <dataField name="Contagem de ID" fld="1" subtotal="count" baseField="0" baseItem="0"/>
  </dataFields>
  <chartFormats count="15"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2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3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0A4F8-7B1F-44A1-9B30-74C88DFBB402}" name="Tabela dinâmica3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C14" firstHeaderRow="1" firstDataRow="2" firstDataCol="1"/>
  <pivotFields count="17">
    <pivotField axis="axisRow" showAll="0">
      <items count="16">
        <item x="10"/>
        <item x="11"/>
        <item x="4"/>
        <item x="0"/>
        <item x="2"/>
        <item x="5"/>
        <item x="6"/>
        <item x="1"/>
        <item x="3"/>
        <item m="1" x="14"/>
        <item h="1" x="12"/>
        <item h="1" m="1" x="13"/>
        <item h="1" x="9"/>
        <item h="1" x="7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5"/>
  </colFields>
  <colItems count="2">
    <i>
      <x/>
    </i>
    <i t="grand">
      <x/>
    </i>
  </colItems>
  <dataFields count="1">
    <dataField name="Contagem de ID" fld="1" subtotal="count" baseField="0" baseItem="0"/>
  </dataFields>
  <chartFormats count="2"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A22FAB-71B7-4C98-8286-558CC7995E9E}" name="Tabela dinâmica4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G3:H6" firstHeaderRow="1" firstDataRow="1" firstDataCol="1"/>
  <pivotFields count="17">
    <pivotField showAll="0"/>
    <pivotField dataField="1" showAll="0"/>
    <pivotField axis="axisRow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ntagem de ID" fld="1" subtotal="count" baseField="2" baseItem="0"/>
  </dataFields>
  <chartFormats count="3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9A1E47-2A50-4576-A9B6-7528096A3B3E}" name="Tabela dinâmica5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22:D26" firstHeaderRow="1" firstDataRow="2" firstDataCol="1"/>
  <pivotFields count="17">
    <pivotField showAll="0"/>
    <pivotField dataField="1" showAll="0"/>
    <pivotField showAll="0"/>
    <pivotField axis="axisRow" showAll="0">
      <items count="650">
        <item h="1" x="393"/>
        <item h="1" x="392"/>
        <item h="1" x="23"/>
        <item h="1" x="24"/>
        <item h="1" x="22"/>
        <item x="387"/>
        <item x="388"/>
        <item h="1" x="386"/>
        <item h="1" x="394"/>
        <item h="1" x="395"/>
        <item h="1" x="389"/>
        <item h="1" x="391"/>
        <item h="1" m="1" x="396"/>
        <item h="1" x="0"/>
        <item h="1" x="1"/>
        <item h="1" m="1" x="397"/>
        <item h="1" x="2"/>
        <item h="1" x="3"/>
        <item h="1" x="4"/>
        <item h="1" m="1" x="398"/>
        <item h="1" x="5"/>
        <item h="1" x="6"/>
        <item h="1" x="7"/>
        <item h="1" m="1" x="399"/>
        <item h="1" x="8"/>
        <item h="1" x="9"/>
        <item h="1" x="15"/>
        <item h="1" m="1" x="400"/>
        <item h="1" m="1" x="616"/>
        <item h="1" m="1" x="617"/>
        <item h="1" m="1" x="618"/>
        <item h="1" m="1" x="619"/>
        <item h="1" m="1" x="620"/>
        <item h="1" m="1" x="621"/>
        <item h="1" m="1" x="622"/>
        <item h="1" x="18"/>
        <item h="1" x="19"/>
        <item h="1" m="1" x="404"/>
        <item h="1" m="1" x="401"/>
        <item h="1" m="1" x="402"/>
        <item h="1" m="1" x="403"/>
        <item h="1" m="1" x="405"/>
        <item h="1" x="28"/>
        <item h="1" m="1" x="623"/>
        <item h="1" x="30"/>
        <item h="1" m="1" x="406"/>
        <item h="1" x="31"/>
        <item h="1" m="1" x="407"/>
        <item h="1" m="1" x="408"/>
        <item h="1" x="34"/>
        <item h="1" m="1" x="409"/>
        <item h="1" m="1" x="410"/>
        <item h="1" m="1" x="624"/>
        <item h="1" m="1" x="411"/>
        <item h="1" m="1" x="412"/>
        <item h="1" m="1" x="413"/>
        <item h="1" x="20"/>
        <item h="1" m="1" x="414"/>
        <item h="1" m="1" x="415"/>
        <item h="1" m="1" x="416"/>
        <item h="1" m="1" x="417"/>
        <item h="1" m="1" x="418"/>
        <item h="1" m="1" x="419"/>
        <item h="1" m="1" x="420"/>
        <item h="1" m="1" x="421"/>
        <item h="1" m="1" x="625"/>
        <item h="1" m="1" x="424"/>
        <item h="1" m="1" x="425"/>
        <item h="1" m="1" x="626"/>
        <item h="1" m="1" x="426"/>
        <item h="1" m="1" x="427"/>
        <item h="1" m="1" x="428"/>
        <item h="1" m="1" x="429"/>
        <item h="1" m="1" x="430"/>
        <item h="1" x="47"/>
        <item h="1" m="1" x="431"/>
        <item h="1" m="1" x="432"/>
        <item h="1" m="1" x="433"/>
        <item h="1" m="1" x="434"/>
        <item h="1" x="51"/>
        <item h="1" m="1" x="435"/>
        <item h="1" x="52"/>
        <item h="1" m="1" x="436"/>
        <item h="1" m="1" x="437"/>
        <item h="1" m="1" x="627"/>
        <item h="1" m="1" x="438"/>
        <item h="1" m="1" x="439"/>
        <item h="1" m="1" x="440"/>
        <item h="1" m="1" x="441"/>
        <item h="1" m="1" x="442"/>
        <item h="1" m="1" x="443"/>
        <item h="1" m="1" x="444"/>
        <item h="1" m="1" x="445"/>
        <item h="1" m="1" x="446"/>
        <item h="1" m="1" x="447"/>
        <item h="1" m="1" x="448"/>
        <item h="1" x="61"/>
        <item h="1" m="1" x="449"/>
        <item h="1" x="62"/>
        <item h="1" x="63"/>
        <item h="1" x="64"/>
        <item h="1" x="65"/>
        <item h="1" m="1" x="450"/>
        <item h="1" m="1" x="451"/>
        <item h="1" m="1" x="452"/>
        <item h="1" m="1" x="453"/>
        <item h="1" m="1" x="628"/>
        <item h="1" m="1" x="454"/>
        <item h="1" m="1" x="455"/>
        <item h="1" m="1" x="456"/>
        <item h="1" m="1" x="457"/>
        <item h="1" m="1" x="458"/>
        <item h="1" m="1" x="459"/>
        <item h="1" m="1" x="460"/>
        <item h="1" m="1" x="461"/>
        <item h="1" m="1" x="462"/>
        <item h="1" m="1" x="463"/>
        <item h="1" m="1" x="464"/>
        <item h="1" m="1" x="465"/>
        <item h="1" m="1" x="466"/>
        <item h="1" m="1" x="467"/>
        <item h="1" m="1" x="468"/>
        <item h="1" m="1" x="469"/>
        <item h="1" m="1" x="470"/>
        <item h="1" m="1" x="471"/>
        <item h="1" m="1" x="629"/>
        <item h="1" m="1" x="472"/>
        <item h="1" m="1" x="473"/>
        <item h="1" m="1" x="474"/>
        <item h="1" m="1" x="475"/>
        <item h="1" m="1" x="476"/>
        <item h="1" m="1" x="477"/>
        <item h="1" m="1" x="478"/>
        <item h="1" m="1" x="479"/>
        <item h="1" m="1" x="480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90"/>
        <item h="1" x="91"/>
        <item h="1" x="92"/>
        <item h="1" x="95"/>
        <item h="1" x="96"/>
        <item h="1" x="98"/>
        <item h="1" m="1" x="481"/>
        <item h="1" m="1" x="482"/>
        <item h="1" m="1" x="483"/>
        <item h="1" x="99"/>
        <item h="1" m="1" x="484"/>
        <item h="1" x="100"/>
        <item h="1" x="101"/>
        <item h="1" x="102"/>
        <item h="1" x="110"/>
        <item h="1" m="1" x="485"/>
        <item h="1" m="1" x="486"/>
        <item h="1" x="112"/>
        <item h="1" x="117"/>
        <item h="1" x="118"/>
        <item h="1" m="1" x="487"/>
        <item h="1" m="1" x="488"/>
        <item h="1" x="120"/>
        <item h="1" m="1" x="489"/>
        <item h="1" x="125"/>
        <item h="1" x="126"/>
        <item h="1" x="127"/>
        <item h="1" m="1" x="490"/>
        <item h="1" x="133"/>
        <item h="1" x="134"/>
        <item h="1" x="135"/>
        <item h="1" m="1" x="491"/>
        <item h="1" x="138"/>
        <item h="1" m="1" x="492"/>
        <item h="1" m="1" x="493"/>
        <item h="1" m="1" x="494"/>
        <item h="1" x="139"/>
        <item h="1" x="140"/>
        <item h="1" m="1" x="495"/>
        <item h="1" m="1" x="496"/>
        <item h="1" m="1" x="497"/>
        <item h="1" m="1" x="498"/>
        <item h="1" m="1" x="499"/>
        <item h="1" x="143"/>
        <item h="1" m="1" x="500"/>
        <item h="1" m="1" x="501"/>
        <item h="1" m="1" x="502"/>
        <item h="1" m="1" x="630"/>
        <item h="1" m="1" x="504"/>
        <item h="1" m="1" x="631"/>
        <item h="1" m="1" x="505"/>
        <item h="1" m="1" x="506"/>
        <item h="1" m="1" x="507"/>
        <item h="1" m="1" x="632"/>
        <item h="1" m="1" x="633"/>
        <item h="1" m="1" x="508"/>
        <item h="1" m="1" x="510"/>
        <item h="1" m="1" x="511"/>
        <item h="1" m="1" x="512"/>
        <item h="1" m="1" x="513"/>
        <item h="1" m="1" x="514"/>
        <item h="1" m="1" x="515"/>
        <item h="1" m="1" x="557"/>
        <item h="1" m="1" x="558"/>
        <item h="1" m="1" x="559"/>
        <item h="1" m="1" x="560"/>
        <item h="1" m="1" x="516"/>
        <item h="1" m="1" x="517"/>
        <item h="1" m="1" x="518"/>
        <item h="1" m="1" x="519"/>
        <item h="1" x="159"/>
        <item h="1" x="162"/>
        <item h="1" x="163"/>
        <item h="1" m="1" x="520"/>
        <item h="1" m="1" x="521"/>
        <item h="1" m="1" x="634"/>
        <item h="1" m="1" x="522"/>
        <item h="1" m="1" x="523"/>
        <item h="1" m="1" x="635"/>
        <item h="1" m="1" x="524"/>
        <item h="1" m="1" x="525"/>
        <item h="1" m="1" x="526"/>
        <item h="1" m="1" x="527"/>
        <item h="1" m="1" x="528"/>
        <item h="1" m="1" x="529"/>
        <item h="1" m="1" x="530"/>
        <item h="1" x="171"/>
        <item h="1" m="1" x="531"/>
        <item h="1" m="1" x="532"/>
        <item h="1" m="1" x="636"/>
        <item h="1" m="1" x="533"/>
        <item h="1" m="1" x="637"/>
        <item h="1" m="1" x="534"/>
        <item h="1" x="174"/>
        <item h="1" m="1" x="535"/>
        <item h="1" m="1" x="536"/>
        <item h="1" x="182"/>
        <item h="1" m="1" x="638"/>
        <item h="1" m="1" x="537"/>
        <item h="1" m="1" x="538"/>
        <item h="1" x="186"/>
        <item h="1" m="1" x="539"/>
        <item h="1" m="1" x="540"/>
        <item h="1" m="1" x="639"/>
        <item h="1" m="1" x="640"/>
        <item h="1" m="1" x="641"/>
        <item h="1" m="1" x="642"/>
        <item h="1" x="189"/>
        <item h="1" m="1" x="643"/>
        <item h="1" m="1" x="542"/>
        <item h="1" m="1" x="543"/>
        <item h="1" m="1" x="544"/>
        <item h="1" x="193"/>
        <item h="1" x="194"/>
        <item h="1" x="195"/>
        <item h="1" m="1" x="545"/>
        <item h="1" x="196"/>
        <item h="1" m="1" x="546"/>
        <item h="1" x="200"/>
        <item h="1" x="205"/>
        <item h="1" x="206"/>
        <item h="1" x="207"/>
        <item h="1" m="1" x="547"/>
        <item h="1" m="1" x="548"/>
        <item h="1" m="1" x="549"/>
        <item h="1" m="1" x="550"/>
        <item h="1" m="1" x="551"/>
        <item h="1" m="1" x="552"/>
        <item h="1" m="1" x="553"/>
        <item h="1" x="215"/>
        <item h="1" m="1" x="554"/>
        <item h="1" m="1" x="644"/>
        <item h="1" m="1" x="555"/>
        <item h="1" x="216"/>
        <item h="1" x="217"/>
        <item h="1" m="1" x="556"/>
        <item h="1" x="218"/>
        <item h="1" m="1" x="645"/>
        <item h="1" m="1" x="561"/>
        <item h="1" m="1" x="562"/>
        <item h="1" x="222"/>
        <item h="1" x="224"/>
        <item h="1" m="1" x="563"/>
        <item h="1" x="236"/>
        <item h="1" x="239"/>
        <item h="1" x="240"/>
        <item h="1" m="1" x="564"/>
        <item h="1" x="242"/>
        <item h="1" x="245"/>
        <item h="1" x="246"/>
        <item h="1" m="1" x="565"/>
        <item h="1" x="247"/>
        <item h="1" m="1" x="566"/>
        <item h="1" m="1" x="567"/>
        <item h="1" m="1" x="568"/>
        <item h="1" m="1" x="569"/>
        <item h="1" m="1" x="570"/>
        <item h="1" m="1" x="646"/>
        <item h="1" m="1" x="571"/>
        <item h="1" m="1" x="572"/>
        <item h="1" x="257"/>
        <item h="1" x="258"/>
        <item h="1" m="1" x="573"/>
        <item h="1" m="1" x="574"/>
        <item h="1" x="263"/>
        <item h="1" m="1" x="575"/>
        <item h="1" m="1" x="576"/>
        <item h="1" x="264"/>
        <item h="1" x="267"/>
        <item h="1" x="268"/>
        <item h="1" m="1" x="577"/>
        <item h="1" m="1" x="578"/>
        <item h="1" m="1" x="579"/>
        <item h="1" x="272"/>
        <item h="1" x="273"/>
        <item h="1" m="1" x="580"/>
        <item h="1" x="274"/>
        <item h="1" x="276"/>
        <item h="1" x="277"/>
        <item h="1" m="1" x="581"/>
        <item h="1" m="1" x="582"/>
        <item h="1" m="1" x="583"/>
        <item h="1" m="1" x="584"/>
        <item h="1" x="291"/>
        <item h="1" x="293"/>
        <item h="1" m="1" x="647"/>
        <item h="1" m="1" x="585"/>
        <item h="1" m="1" x="586"/>
        <item h="1" m="1" x="587"/>
        <item h="1" x="298"/>
        <item h="1" x="299"/>
        <item h="1" x="302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x="327"/>
        <item h="1" m="1" x="598"/>
        <item h="1" x="330"/>
        <item h="1" m="1" x="599"/>
        <item h="1" x="332"/>
        <item h="1" x="333"/>
        <item h="1" m="1" x="600"/>
        <item h="1" m="1" x="601"/>
        <item h="1" m="1" x="602"/>
        <item h="1" m="1" x="603"/>
        <item h="1" x="338"/>
        <item h="1" m="1" x="604"/>
        <item h="1" m="1" x="605"/>
        <item h="1" m="1" x="606"/>
        <item h="1" m="1" x="607"/>
        <item h="1" x="347"/>
        <item h="1" x="349"/>
        <item h="1" m="1" x="648"/>
        <item h="1" m="1" x="608"/>
        <item h="1" m="1" x="609"/>
        <item h="1" x="351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6"/>
        <item h="1" x="367"/>
        <item h="1" x="368"/>
        <item h="1" x="369"/>
        <item h="1" x="371"/>
        <item h="1" x="373"/>
        <item h="1" m="1" x="610"/>
        <item h="1" m="1" x="611"/>
        <item h="1" x="375"/>
        <item h="1" x="376"/>
        <item h="1" x="377"/>
        <item h="1" x="378"/>
        <item h="1" x="379"/>
        <item h="1" x="380"/>
        <item h="1" x="381"/>
        <item h="1" x="382"/>
        <item h="1" m="1" x="612"/>
        <item h="1" m="1" x="613"/>
        <item h="1" m="1" x="614"/>
        <item h="1" m="1" x="615"/>
        <item h="1" x="10"/>
        <item h="1" x="11"/>
        <item h="1" m="1" x="422"/>
        <item h="1" m="1" x="423"/>
        <item h="1" x="93"/>
        <item h="1" m="1" x="503"/>
        <item h="1" m="1" x="509"/>
        <item h="1" m="1" x="541"/>
        <item h="1" x="229"/>
        <item h="1" x="230"/>
        <item h="1" x="231"/>
        <item h="1" x="248"/>
        <item h="1" x="253"/>
        <item h="1" x="255"/>
        <item h="1" x="266"/>
        <item h="1" x="278"/>
        <item h="1" x="297"/>
        <item h="1" x="315"/>
        <item h="1" x="317"/>
        <item h="1" x="318"/>
        <item h="1" x="319"/>
        <item h="1" x="320"/>
        <item h="1" x="321"/>
        <item h="1" x="323"/>
        <item h="1" x="324"/>
        <item h="1" x="328"/>
        <item h="1" x="341"/>
        <item h="1" x="345"/>
        <item h="1" x="346"/>
        <item h="1" x="370"/>
        <item h="1" x="390"/>
        <item h="1" x="12"/>
        <item h="1" x="13"/>
        <item h="1" x="14"/>
        <item h="1" x="16"/>
        <item h="1" x="17"/>
        <item h="1" x="21"/>
        <item h="1" x="25"/>
        <item h="1" x="26"/>
        <item h="1" x="27"/>
        <item h="1" x="29"/>
        <item h="1" x="32"/>
        <item h="1" x="33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8"/>
        <item h="1" x="49"/>
        <item h="1" x="50"/>
        <item h="1" x="53"/>
        <item h="1" x="54"/>
        <item h="1" x="55"/>
        <item h="1" x="56"/>
        <item h="1" x="57"/>
        <item h="1" x="58"/>
        <item h="1" x="59"/>
        <item h="1" x="60"/>
        <item h="1" x="66"/>
        <item h="1" x="67"/>
        <item h="1" x="68"/>
        <item h="1" x="69"/>
        <item h="1" x="70"/>
        <item h="1" x="71"/>
        <item h="1" x="72"/>
        <item h="1" x="86"/>
        <item h="1" x="87"/>
        <item h="1" x="88"/>
        <item h="1" x="89"/>
        <item h="1" x="94"/>
        <item h="1" x="97"/>
        <item h="1" x="103"/>
        <item h="1" x="104"/>
        <item h="1" x="105"/>
        <item h="1" x="106"/>
        <item h="1" x="107"/>
        <item h="1" x="108"/>
        <item h="1" x="109"/>
        <item h="1" x="111"/>
        <item h="1" x="113"/>
        <item h="1" x="114"/>
        <item h="1" x="115"/>
        <item h="1" x="116"/>
        <item h="1" x="119"/>
        <item h="1" x="121"/>
        <item h="1" x="122"/>
        <item h="1" x="123"/>
        <item h="1" x="124"/>
        <item h="1" x="128"/>
        <item h="1" x="129"/>
        <item h="1" x="130"/>
        <item h="1" x="131"/>
        <item h="1" x="132"/>
        <item h="1" x="136"/>
        <item h="1" x="137"/>
        <item h="1" x="141"/>
        <item h="1" x="142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60"/>
        <item h="1" x="161"/>
        <item h="1" x="164"/>
        <item h="1" x="165"/>
        <item h="1" x="166"/>
        <item h="1" x="167"/>
        <item h="1" x="168"/>
        <item h="1" x="169"/>
        <item h="1" x="170"/>
        <item h="1" x="172"/>
        <item h="1" x="173"/>
        <item h="1" x="175"/>
        <item h="1" x="176"/>
        <item h="1" x="177"/>
        <item h="1" x="178"/>
        <item h="1" x="179"/>
        <item h="1" x="180"/>
        <item h="1" x="181"/>
        <item h="1" x="183"/>
        <item h="1" x="184"/>
        <item h="1" x="185"/>
        <item h="1" x="187"/>
        <item h="1" x="188"/>
        <item h="1" x="190"/>
        <item h="1" x="191"/>
        <item h="1" x="192"/>
        <item h="1" x="197"/>
        <item h="1" x="198"/>
        <item h="1" x="199"/>
        <item h="1" x="201"/>
        <item h="1" x="202"/>
        <item h="1" x="203"/>
        <item h="1" x="204"/>
        <item h="1" x="208"/>
        <item h="1" x="209"/>
        <item h="1" x="210"/>
        <item h="1" x="211"/>
        <item h="1" x="212"/>
        <item h="1" x="213"/>
        <item h="1" x="214"/>
        <item h="1" x="219"/>
        <item h="1" x="220"/>
        <item h="1" x="221"/>
        <item h="1" x="223"/>
        <item h="1" x="225"/>
        <item h="1" x="226"/>
        <item h="1" x="227"/>
        <item h="1" x="228"/>
        <item h="1" x="232"/>
        <item h="1" x="233"/>
        <item h="1" x="234"/>
        <item h="1" x="235"/>
        <item h="1" x="237"/>
        <item h="1" x="238"/>
        <item h="1" x="241"/>
        <item h="1" x="243"/>
        <item h="1" x="244"/>
        <item h="1" x="249"/>
        <item h="1" x="250"/>
        <item h="1" x="251"/>
        <item h="1" x="252"/>
        <item h="1" x="254"/>
        <item h="1" x="256"/>
        <item h="1" x="259"/>
        <item h="1" x="260"/>
        <item h="1" x="261"/>
        <item h="1" x="262"/>
        <item h="1" x="265"/>
        <item h="1" x="269"/>
        <item h="1" x="270"/>
        <item h="1" x="271"/>
        <item h="1" x="275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2"/>
        <item h="1" x="294"/>
        <item h="1" x="295"/>
        <item h="1" x="296"/>
        <item h="1" x="300"/>
        <item h="1" x="301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6"/>
        <item h="1" x="322"/>
        <item h="1" x="325"/>
        <item h="1" x="326"/>
        <item h="1" x="329"/>
        <item h="1" x="331"/>
        <item h="1" x="334"/>
        <item h="1" x="335"/>
        <item h="1" x="336"/>
        <item h="1" x="337"/>
        <item h="1" x="339"/>
        <item h="1" x="340"/>
        <item h="1" x="342"/>
        <item h="1" x="343"/>
        <item h="1" x="344"/>
        <item h="1" x="348"/>
        <item h="1" x="350"/>
        <item h="1" x="352"/>
        <item h="1" x="353"/>
        <item h="1" x="364"/>
        <item h="1" x="365"/>
        <item h="1" x="372"/>
        <item h="1" x="374"/>
        <item h="1" x="383"/>
        <item h="1" x="384"/>
        <item h="1" x="3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05">
        <item m="1" x="98"/>
        <item m="1" x="101"/>
        <item m="1" x="51"/>
        <item m="1" x="75"/>
        <item m="1" x="97"/>
        <item m="1" x="99"/>
        <item m="1" x="70"/>
        <item m="1" x="100"/>
        <item x="6"/>
        <item m="1" x="77"/>
        <item x="8"/>
        <item m="1" x="56"/>
        <item m="1" x="76"/>
        <item x="10"/>
        <item x="9"/>
        <item x="11"/>
        <item x="21"/>
        <item x="19"/>
        <item x="26"/>
        <item x="25"/>
        <item x="27"/>
        <item x="22"/>
        <item x="20"/>
        <item x="18"/>
        <item x="24"/>
        <item x="17"/>
        <item x="29"/>
        <item x="16"/>
        <item x="31"/>
        <item x="23"/>
        <item x="32"/>
        <item x="37"/>
        <item x="30"/>
        <item x="34"/>
        <item m="1" x="60"/>
        <item x="28"/>
        <item x="33"/>
        <item m="1" x="63"/>
        <item x="35"/>
        <item m="1" x="81"/>
        <item m="1" x="91"/>
        <item x="39"/>
        <item m="1" x="102"/>
        <item m="1" x="103"/>
        <item x="47"/>
        <item m="1" x="87"/>
        <item m="1" x="88"/>
        <item m="1" x="48"/>
        <item m="1" x="79"/>
        <item x="5"/>
        <item m="1" x="55"/>
        <item x="14"/>
        <item m="1" x="89"/>
        <item x="2"/>
        <item m="1" x="57"/>
        <item m="1" x="52"/>
        <item m="1" x="69"/>
        <item m="1" x="54"/>
        <item m="1" x="82"/>
        <item m="1" x="94"/>
        <item m="1" x="95"/>
        <item m="1" x="90"/>
        <item x="38"/>
        <item m="1" x="92"/>
        <item m="1" x="65"/>
        <item m="1" x="93"/>
        <item m="1" x="96"/>
        <item m="1" x="73"/>
        <item m="1" x="74"/>
        <item x="12"/>
        <item m="1" x="71"/>
        <item x="3"/>
        <item m="1" x="78"/>
        <item m="1" x="80"/>
        <item m="1" x="61"/>
        <item x="42"/>
        <item x="36"/>
        <item x="41"/>
        <item m="1" x="83"/>
        <item m="1" x="84"/>
        <item m="1" x="85"/>
        <item m="1" x="86"/>
        <item m="1" x="53"/>
        <item m="1" x="50"/>
        <item m="1" x="72"/>
        <item m="1" x="62"/>
        <item m="1" x="49"/>
        <item m="1" x="58"/>
        <item m="1" x="59"/>
        <item m="1" x="64"/>
        <item m="1" x="66"/>
        <item m="1" x="67"/>
        <item m="1" x="68"/>
        <item x="45"/>
        <item x="0"/>
        <item x="1"/>
        <item x="4"/>
        <item x="7"/>
        <item x="13"/>
        <item x="15"/>
        <item x="40"/>
        <item x="44"/>
        <item x="43"/>
        <item x="46"/>
        <item t="default"/>
      </items>
    </pivotField>
    <pivotField showAll="0"/>
    <pivotField showAll="0"/>
    <pivotField showAll="0"/>
  </pivotFields>
  <rowFields count="1">
    <field x="3"/>
  </rowFields>
  <rowItems count="3">
    <i>
      <x v="5"/>
    </i>
    <i>
      <x v="6"/>
    </i>
    <i t="grand">
      <x/>
    </i>
  </rowItems>
  <colFields count="1">
    <field x="13"/>
  </colFields>
  <colItems count="3">
    <i>
      <x v="101"/>
    </i>
    <i>
      <x v="102"/>
    </i>
    <i t="grand">
      <x/>
    </i>
  </colItems>
  <dataFields count="1">
    <dataField name="Contagem de ID" fld="1" subtotal="count" baseField="0" baseItem="0"/>
  </dataFields>
  <chartFormats count="14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5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3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4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9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2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1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0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6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1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8FDBA9-F9E1-4E34-B40E-1D5030DFB606}" name="Tabela1" displayName="Tabela1" ref="G4:I17" totalsRowShown="0" headerRowDxfId="4" dataDxfId="3">
  <autoFilter ref="G4:I17" xr:uid="{618FDBA9-F9E1-4E34-B40E-1D5030DFB606}"/>
  <tableColumns count="3">
    <tableColumn id="1" xr3:uid="{C5D0F965-445A-49D9-8809-F2D804CC03D8}" name="Analista" dataDxfId="2"/>
    <tableColumn id="2" xr3:uid="{E56FCEB3-A041-4E1A-805E-FEF57D389880}" name="Chamados" dataDxfId="1"/>
    <tableColumn id="3" xr3:uid="{DB510D5A-922A-4BBC-8FD1-7C2EF9512AA8}" name="%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2" dT="2024-05-31T20:02:28.74" personId="{9ABA1D7B-6A46-4DB3-8088-92FE017D02A2}" id="{F25C80CB-4C86-4409-BDC4-40F10460C950}">
    <text>Valores negativos são documentos vencidos</text>
  </threadedComment>
  <threadedComment ref="Q2" dT="2024-05-29T18:07:05.54" personId="{9ABA1D7B-6A46-4DB3-8088-92FE017D02A2}" id="{85EA425E-4559-4469-BD18-C0A4DADEE939}">
    <text>Coluna para macro verificar se o chamado foi tratado ou não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6D5A6-1173-4D7C-8EEE-84DBC8C70D8B}">
  <sheetPr codeName="Planilha2">
    <tabColor rgb="FF92D050"/>
  </sheetPr>
  <dimension ref="A1:K383"/>
  <sheetViews>
    <sheetView topLeftCell="D1" workbookViewId="0">
      <pane ySplit="1" topLeftCell="A218" activePane="bottomLeft" state="frozen"/>
      <selection pane="bottomLeft" activeCell="I2" sqref="I2:I235"/>
    </sheetView>
  </sheetViews>
  <sheetFormatPr defaultRowHeight="14.5" x14ac:dyDescent="0.35"/>
  <cols>
    <col min="1" max="1" width="7" style="14" bestFit="1" customWidth="1"/>
    <col min="2" max="2" width="27.08984375" style="14" bestFit="1" customWidth="1"/>
    <col min="3" max="3" width="55.453125" style="14" customWidth="1"/>
    <col min="4" max="4" width="14.54296875" style="14" bestFit="1" customWidth="1"/>
    <col min="5" max="5" width="17.81640625" style="14" bestFit="1" customWidth="1"/>
    <col min="6" max="6" width="9" style="14" bestFit="1" customWidth="1"/>
    <col min="7" max="7" width="35.1796875" style="14" customWidth="1"/>
    <col min="8" max="8" width="10" style="14" bestFit="1" customWidth="1"/>
    <col min="9" max="9" width="18.453125" style="14" bestFit="1" customWidth="1"/>
    <col min="10" max="10" width="7.90625" style="14" bestFit="1" customWidth="1"/>
    <col min="11" max="11" width="75.1796875" style="14" bestFit="1" customWidth="1"/>
  </cols>
  <sheetData>
    <row r="1" spans="1:11" x14ac:dyDescent="0.3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34</v>
      </c>
      <c r="I1" s="17" t="s">
        <v>35</v>
      </c>
      <c r="J1" s="17" t="s">
        <v>9</v>
      </c>
      <c r="K1" s="17" t="s">
        <v>10</v>
      </c>
    </row>
    <row r="2" spans="1:11" x14ac:dyDescent="0.35">
      <c r="A2" s="26">
        <v>591613</v>
      </c>
      <c r="B2" s="27">
        <v>2314480</v>
      </c>
      <c r="C2" t="s">
        <v>62</v>
      </c>
      <c r="D2" t="s">
        <v>63</v>
      </c>
      <c r="E2" t="s">
        <v>64</v>
      </c>
      <c r="F2" s="26">
        <v>9000</v>
      </c>
      <c r="G2" t="s">
        <v>416</v>
      </c>
      <c r="H2" s="26">
        <v>970</v>
      </c>
      <c r="I2" s="27">
        <v>1.0460100000000001</v>
      </c>
      <c r="J2" t="s">
        <v>65</v>
      </c>
      <c r="K2" t="s">
        <v>66</v>
      </c>
    </row>
    <row r="3" spans="1:11" x14ac:dyDescent="0.35">
      <c r="A3" s="26">
        <v>701218</v>
      </c>
      <c r="B3" s="27">
        <v>2511654</v>
      </c>
      <c r="C3" t="s">
        <v>418</v>
      </c>
      <c r="D3" t="s">
        <v>11</v>
      </c>
      <c r="E3" t="s">
        <v>419</v>
      </c>
      <c r="F3" s="26">
        <v>202</v>
      </c>
      <c r="G3" t="s">
        <v>416</v>
      </c>
      <c r="H3" s="26">
        <v>6723</v>
      </c>
      <c r="I3" s="27">
        <v>1.07602</v>
      </c>
      <c r="J3" t="s">
        <v>65</v>
      </c>
      <c r="K3" t="s">
        <v>77</v>
      </c>
    </row>
    <row r="4" spans="1:11" x14ac:dyDescent="0.35">
      <c r="A4" s="26">
        <v>701216</v>
      </c>
      <c r="B4" s="27">
        <v>2511649</v>
      </c>
      <c r="C4" t="s">
        <v>418</v>
      </c>
      <c r="D4" t="s">
        <v>11</v>
      </c>
      <c r="E4" t="s">
        <v>419</v>
      </c>
      <c r="F4" s="26">
        <v>201</v>
      </c>
      <c r="G4" t="s">
        <v>416</v>
      </c>
      <c r="H4" s="26">
        <v>6761.1</v>
      </c>
      <c r="I4" s="27">
        <v>1.07602</v>
      </c>
      <c r="J4" t="s">
        <v>65</v>
      </c>
      <c r="K4" t="s">
        <v>77</v>
      </c>
    </row>
    <row r="5" spans="1:11" x14ac:dyDescent="0.35">
      <c r="A5" s="26">
        <v>715647</v>
      </c>
      <c r="B5" s="27">
        <v>2537025</v>
      </c>
      <c r="C5" t="s">
        <v>62</v>
      </c>
      <c r="D5" t="s">
        <v>81</v>
      </c>
      <c r="E5" t="s">
        <v>82</v>
      </c>
      <c r="F5" s="26">
        <v>9554</v>
      </c>
      <c r="G5" t="s">
        <v>83</v>
      </c>
      <c r="H5" s="26">
        <v>2020</v>
      </c>
      <c r="I5" s="27">
        <v>1.1530100000000001</v>
      </c>
      <c r="J5" t="s">
        <v>65</v>
      </c>
      <c r="K5" t="s">
        <v>84</v>
      </c>
    </row>
    <row r="6" spans="1:11" x14ac:dyDescent="0.35">
      <c r="A6" s="26">
        <v>764106</v>
      </c>
      <c r="B6" s="27">
        <v>2676673</v>
      </c>
      <c r="C6" t="s">
        <v>93</v>
      </c>
      <c r="D6" t="s">
        <v>94</v>
      </c>
      <c r="E6" t="s">
        <v>95</v>
      </c>
      <c r="F6" s="26">
        <v>370</v>
      </c>
      <c r="G6" t="s">
        <v>83</v>
      </c>
      <c r="H6" s="26">
        <v>376.2</v>
      </c>
      <c r="I6" s="27">
        <v>1.0390900000000001</v>
      </c>
      <c r="J6" t="s">
        <v>65</v>
      </c>
      <c r="K6" t="s">
        <v>96</v>
      </c>
    </row>
    <row r="7" spans="1:11" x14ac:dyDescent="0.35">
      <c r="A7" s="26">
        <v>756910</v>
      </c>
      <c r="B7" s="27">
        <v>2893647</v>
      </c>
      <c r="C7" t="s">
        <v>97</v>
      </c>
      <c r="D7" t="s">
        <v>98</v>
      </c>
      <c r="E7" t="s">
        <v>99</v>
      </c>
      <c r="F7" s="26">
        <v>2024821</v>
      </c>
      <c r="G7" t="s">
        <v>1339</v>
      </c>
      <c r="H7" s="26">
        <v>165</v>
      </c>
      <c r="I7" s="27">
        <v>1.1040099999999999</v>
      </c>
      <c r="J7" t="s">
        <v>65</v>
      </c>
      <c r="K7" t="s">
        <v>101</v>
      </c>
    </row>
    <row r="8" spans="1:11" x14ac:dyDescent="0.35">
      <c r="A8" s="26">
        <v>778916</v>
      </c>
      <c r="B8" s="27">
        <v>2894475</v>
      </c>
      <c r="C8" t="s">
        <v>1340</v>
      </c>
      <c r="D8" t="s">
        <v>114</v>
      </c>
      <c r="E8" t="s">
        <v>114</v>
      </c>
      <c r="F8" s="26">
        <v>8142</v>
      </c>
      <c r="G8" t="s">
        <v>83</v>
      </c>
      <c r="H8" s="26">
        <v>573.1</v>
      </c>
      <c r="I8" s="27">
        <v>1.08101</v>
      </c>
      <c r="J8" t="s">
        <v>76</v>
      </c>
      <c r="K8" t="s">
        <v>172</v>
      </c>
    </row>
    <row r="9" spans="1:11" x14ac:dyDescent="0.35">
      <c r="A9" s="26">
        <v>755709</v>
      </c>
      <c r="B9" s="27">
        <v>2615345</v>
      </c>
      <c r="C9" t="s">
        <v>62</v>
      </c>
      <c r="D9" t="s">
        <v>106</v>
      </c>
      <c r="E9" t="s">
        <v>104</v>
      </c>
      <c r="F9" s="26">
        <v>9711</v>
      </c>
      <c r="G9" t="s">
        <v>83</v>
      </c>
      <c r="H9" s="26">
        <v>970</v>
      </c>
      <c r="I9" s="27">
        <v>1.1530100000000001</v>
      </c>
      <c r="J9" t="s">
        <v>65</v>
      </c>
      <c r="K9" t="s">
        <v>84</v>
      </c>
    </row>
    <row r="10" spans="1:11" x14ac:dyDescent="0.35">
      <c r="A10" s="26">
        <v>749609</v>
      </c>
      <c r="B10" s="27">
        <v>2598119</v>
      </c>
      <c r="C10" t="s">
        <v>109</v>
      </c>
      <c r="D10" t="s">
        <v>110</v>
      </c>
      <c r="E10" t="s">
        <v>111</v>
      </c>
      <c r="F10" s="26">
        <v>565</v>
      </c>
      <c r="G10" t="s">
        <v>79</v>
      </c>
      <c r="H10" s="26">
        <v>1120</v>
      </c>
      <c r="I10" s="2"/>
      <c r="J10" t="s">
        <v>76</v>
      </c>
      <c r="K10" t="s">
        <v>112</v>
      </c>
    </row>
    <row r="11" spans="1:11" x14ac:dyDescent="0.35">
      <c r="A11" s="26">
        <v>780561</v>
      </c>
      <c r="B11" s="27">
        <v>2894696</v>
      </c>
      <c r="C11" t="s">
        <v>624</v>
      </c>
      <c r="D11" t="s">
        <v>108</v>
      </c>
      <c r="E11" t="s">
        <v>213</v>
      </c>
      <c r="F11" s="26">
        <v>31079</v>
      </c>
      <c r="G11" t="s">
        <v>79</v>
      </c>
      <c r="H11" s="26">
        <v>271.69</v>
      </c>
      <c r="I11" s="27">
        <v>1.09701</v>
      </c>
      <c r="J11" t="s">
        <v>76</v>
      </c>
      <c r="K11" t="s">
        <v>417</v>
      </c>
    </row>
    <row r="12" spans="1:11" x14ac:dyDescent="0.35">
      <c r="A12" s="26">
        <v>780418</v>
      </c>
      <c r="B12" s="27">
        <v>2894643</v>
      </c>
      <c r="C12" t="s">
        <v>1341</v>
      </c>
      <c r="D12" t="s">
        <v>108</v>
      </c>
      <c r="E12" t="s">
        <v>91</v>
      </c>
      <c r="F12" s="26">
        <v>83</v>
      </c>
      <c r="G12" t="s">
        <v>79</v>
      </c>
      <c r="H12" s="26">
        <v>980.24</v>
      </c>
      <c r="I12" s="27">
        <v>1.03301</v>
      </c>
      <c r="J12" t="s">
        <v>76</v>
      </c>
      <c r="K12" t="s">
        <v>1342</v>
      </c>
    </row>
    <row r="13" spans="1:11" x14ac:dyDescent="0.35">
      <c r="A13" s="26">
        <v>779111</v>
      </c>
      <c r="B13" s="27">
        <v>2880705</v>
      </c>
      <c r="C13" t="s">
        <v>113</v>
      </c>
      <c r="D13" t="s">
        <v>114</v>
      </c>
      <c r="E13" t="s">
        <v>115</v>
      </c>
      <c r="F13" s="26">
        <v>132079</v>
      </c>
      <c r="G13" t="s">
        <v>416</v>
      </c>
      <c r="H13" s="26">
        <v>370</v>
      </c>
      <c r="I13" s="27">
        <v>1.0740099999999999</v>
      </c>
      <c r="J13" t="s">
        <v>76</v>
      </c>
      <c r="K13" t="s">
        <v>105</v>
      </c>
    </row>
    <row r="14" spans="1:11" x14ac:dyDescent="0.35">
      <c r="A14" s="26">
        <v>779089</v>
      </c>
      <c r="B14" s="27">
        <v>2882753</v>
      </c>
      <c r="C14" t="s">
        <v>1343</v>
      </c>
      <c r="D14" t="s">
        <v>114</v>
      </c>
      <c r="E14" t="s">
        <v>102</v>
      </c>
      <c r="F14" s="26">
        <v>253083</v>
      </c>
      <c r="G14" t="s">
        <v>79</v>
      </c>
      <c r="H14" s="26">
        <v>422.78</v>
      </c>
      <c r="I14" s="27">
        <v>1.0740099999999999</v>
      </c>
      <c r="J14" t="s">
        <v>76</v>
      </c>
      <c r="K14" t="s">
        <v>105</v>
      </c>
    </row>
    <row r="15" spans="1:11" x14ac:dyDescent="0.35">
      <c r="A15" s="26">
        <v>778721</v>
      </c>
      <c r="B15" s="27">
        <v>2860804</v>
      </c>
      <c r="C15" t="s">
        <v>1344</v>
      </c>
      <c r="D15" t="s">
        <v>114</v>
      </c>
      <c r="E15" t="s">
        <v>116</v>
      </c>
      <c r="F15" s="26">
        <v>160</v>
      </c>
      <c r="G15" t="s">
        <v>79</v>
      </c>
      <c r="H15" s="26">
        <v>2950</v>
      </c>
      <c r="I15" s="27">
        <v>1.0740099999999999</v>
      </c>
      <c r="J15" t="s">
        <v>65</v>
      </c>
      <c r="K15" t="s">
        <v>105</v>
      </c>
    </row>
    <row r="16" spans="1:11" x14ac:dyDescent="0.35">
      <c r="A16" s="26">
        <v>778717</v>
      </c>
      <c r="B16" s="27">
        <v>2860730</v>
      </c>
      <c r="C16" t="s">
        <v>1344</v>
      </c>
      <c r="D16" t="s">
        <v>114</v>
      </c>
      <c r="E16" t="s">
        <v>116</v>
      </c>
      <c r="F16" s="26">
        <v>162</v>
      </c>
      <c r="G16" t="s">
        <v>79</v>
      </c>
      <c r="H16" s="26">
        <v>4529</v>
      </c>
      <c r="I16" s="27">
        <v>1.0740099999999999</v>
      </c>
      <c r="J16" t="s">
        <v>65</v>
      </c>
      <c r="K16" t="s">
        <v>105</v>
      </c>
    </row>
    <row r="17" spans="1:11" x14ac:dyDescent="0.35">
      <c r="A17" s="26">
        <v>778715</v>
      </c>
      <c r="B17" s="27">
        <v>2860716</v>
      </c>
      <c r="C17" t="s">
        <v>1344</v>
      </c>
      <c r="D17" t="s">
        <v>114</v>
      </c>
      <c r="E17" t="s">
        <v>116</v>
      </c>
      <c r="F17" s="26">
        <v>159</v>
      </c>
      <c r="G17" t="s">
        <v>79</v>
      </c>
      <c r="H17" s="26">
        <v>1580</v>
      </c>
      <c r="I17" s="27">
        <v>1.0740099999999999</v>
      </c>
      <c r="J17" t="s">
        <v>65</v>
      </c>
      <c r="K17" t="s">
        <v>105</v>
      </c>
    </row>
    <row r="18" spans="1:11" x14ac:dyDescent="0.35">
      <c r="A18" s="26">
        <v>770390</v>
      </c>
      <c r="B18" s="27">
        <v>2805731</v>
      </c>
      <c r="C18" t="s">
        <v>1345</v>
      </c>
      <c r="D18" t="s">
        <v>95</v>
      </c>
      <c r="E18" t="s">
        <v>122</v>
      </c>
      <c r="F18" s="26">
        <v>3462</v>
      </c>
      <c r="G18" t="s">
        <v>68</v>
      </c>
      <c r="H18" s="26">
        <v>157500</v>
      </c>
      <c r="I18" s="27">
        <v>1.0480100000000001</v>
      </c>
      <c r="J18" t="s">
        <v>76</v>
      </c>
      <c r="K18" t="s">
        <v>75</v>
      </c>
    </row>
    <row r="19" spans="1:11" x14ac:dyDescent="0.35">
      <c r="A19" s="26">
        <v>770377</v>
      </c>
      <c r="B19" s="27">
        <v>2805729</v>
      </c>
      <c r="C19" t="s">
        <v>1345</v>
      </c>
      <c r="D19" t="s">
        <v>95</v>
      </c>
      <c r="E19" t="s">
        <v>122</v>
      </c>
      <c r="F19" s="26">
        <v>3461</v>
      </c>
      <c r="G19" t="s">
        <v>68</v>
      </c>
      <c r="H19" s="26">
        <v>230226.88</v>
      </c>
      <c r="I19" s="27">
        <v>1.0480100000000001</v>
      </c>
      <c r="J19" t="s">
        <v>76</v>
      </c>
      <c r="K19" t="s">
        <v>75</v>
      </c>
    </row>
    <row r="20" spans="1:11" x14ac:dyDescent="0.35">
      <c r="A20" s="26">
        <v>768563</v>
      </c>
      <c r="B20" s="27">
        <v>2893849</v>
      </c>
      <c r="C20" t="s">
        <v>1346</v>
      </c>
      <c r="D20" t="s">
        <v>126</v>
      </c>
      <c r="E20" t="s">
        <v>1347</v>
      </c>
      <c r="F20" s="26">
        <v>49906</v>
      </c>
      <c r="G20" t="s">
        <v>68</v>
      </c>
      <c r="H20" s="26">
        <v>290700</v>
      </c>
      <c r="I20" s="27">
        <v>1.0480100000000001</v>
      </c>
      <c r="J20" t="s">
        <v>76</v>
      </c>
      <c r="K20" t="s">
        <v>75</v>
      </c>
    </row>
    <row r="21" spans="1:11" x14ac:dyDescent="0.35">
      <c r="A21" s="26">
        <v>768243</v>
      </c>
      <c r="B21" s="27">
        <v>2732654</v>
      </c>
      <c r="C21" t="s">
        <v>118</v>
      </c>
      <c r="D21" t="s">
        <v>126</v>
      </c>
      <c r="E21" t="s">
        <v>91</v>
      </c>
      <c r="F21" s="26">
        <v>412828</v>
      </c>
      <c r="G21" t="s">
        <v>416</v>
      </c>
      <c r="H21" s="26">
        <v>2117.4499999999998</v>
      </c>
      <c r="I21" s="27">
        <v>1.02901</v>
      </c>
      <c r="J21" t="s">
        <v>76</v>
      </c>
      <c r="K21" t="s">
        <v>119</v>
      </c>
    </row>
    <row r="22" spans="1:11" x14ac:dyDescent="0.35">
      <c r="A22" s="26">
        <v>767646</v>
      </c>
      <c r="B22" s="27">
        <v>2727139</v>
      </c>
      <c r="C22" t="s">
        <v>1348</v>
      </c>
      <c r="D22" t="s">
        <v>126</v>
      </c>
      <c r="E22" t="s">
        <v>67</v>
      </c>
      <c r="F22" s="26">
        <v>8522</v>
      </c>
      <c r="G22" t="s">
        <v>68</v>
      </c>
      <c r="H22" s="26">
        <v>20652.54</v>
      </c>
      <c r="I22" s="27">
        <v>1.0480100000000001</v>
      </c>
      <c r="J22" t="s">
        <v>65</v>
      </c>
      <c r="K22" t="s">
        <v>75</v>
      </c>
    </row>
    <row r="23" spans="1:11" x14ac:dyDescent="0.35">
      <c r="A23" s="26">
        <v>767642</v>
      </c>
      <c r="B23" s="27">
        <v>2726919</v>
      </c>
      <c r="C23" t="s">
        <v>1349</v>
      </c>
      <c r="D23" t="s">
        <v>126</v>
      </c>
      <c r="E23" t="s">
        <v>1347</v>
      </c>
      <c r="F23" s="26">
        <v>564</v>
      </c>
      <c r="G23" t="s">
        <v>68</v>
      </c>
      <c r="H23" s="26">
        <v>15920</v>
      </c>
      <c r="I23" s="27">
        <v>1.0480100000000001</v>
      </c>
      <c r="J23" t="s">
        <v>65</v>
      </c>
      <c r="K23" t="s">
        <v>75</v>
      </c>
    </row>
    <row r="24" spans="1:11" x14ac:dyDescent="0.35">
      <c r="A24" s="26">
        <v>767637</v>
      </c>
      <c r="B24" s="27">
        <v>2726704</v>
      </c>
      <c r="C24" t="s">
        <v>1349</v>
      </c>
      <c r="D24" t="s">
        <v>126</v>
      </c>
      <c r="E24" t="s">
        <v>1347</v>
      </c>
      <c r="F24" s="26">
        <v>346</v>
      </c>
      <c r="G24" t="s">
        <v>68</v>
      </c>
      <c r="H24" s="26">
        <v>17500</v>
      </c>
      <c r="I24" s="27">
        <v>1.0480100000000001</v>
      </c>
      <c r="J24" t="s">
        <v>76</v>
      </c>
      <c r="K24" t="s">
        <v>75</v>
      </c>
    </row>
    <row r="25" spans="1:11" x14ac:dyDescent="0.35">
      <c r="A25" s="26">
        <v>767634</v>
      </c>
      <c r="B25" s="27">
        <v>2726554</v>
      </c>
      <c r="C25" t="s">
        <v>1350</v>
      </c>
      <c r="D25" t="s">
        <v>126</v>
      </c>
      <c r="E25" t="s">
        <v>67</v>
      </c>
      <c r="F25" s="26">
        <v>6998</v>
      </c>
      <c r="G25" t="s">
        <v>68</v>
      </c>
      <c r="H25" s="26">
        <v>54400</v>
      </c>
      <c r="I25" s="27">
        <v>1.0480100000000001</v>
      </c>
      <c r="J25" t="s">
        <v>65</v>
      </c>
      <c r="K25" t="s">
        <v>75</v>
      </c>
    </row>
    <row r="26" spans="1:11" x14ac:dyDescent="0.35">
      <c r="A26" s="26">
        <v>766400</v>
      </c>
      <c r="B26" s="27">
        <v>2893297</v>
      </c>
      <c r="C26" t="s">
        <v>1351</v>
      </c>
      <c r="D26" t="s">
        <v>85</v>
      </c>
      <c r="E26" t="s">
        <v>71</v>
      </c>
      <c r="F26" s="26">
        <v>12462</v>
      </c>
      <c r="G26" t="s">
        <v>68</v>
      </c>
      <c r="H26" s="26">
        <v>10890</v>
      </c>
      <c r="I26" s="27">
        <v>1.0480100000000001</v>
      </c>
      <c r="J26" t="s">
        <v>76</v>
      </c>
      <c r="K26" t="s">
        <v>75</v>
      </c>
    </row>
    <row r="27" spans="1:11" x14ac:dyDescent="0.35">
      <c r="A27" s="26">
        <v>765730</v>
      </c>
      <c r="B27" s="27">
        <v>2700860</v>
      </c>
      <c r="C27" t="s">
        <v>1352</v>
      </c>
      <c r="D27" t="s">
        <v>85</v>
      </c>
      <c r="E27" t="s">
        <v>71</v>
      </c>
      <c r="F27" s="26">
        <v>3723</v>
      </c>
      <c r="G27" t="s">
        <v>68</v>
      </c>
      <c r="H27" s="26">
        <v>9750</v>
      </c>
      <c r="I27" s="27">
        <v>1.0010399999999999</v>
      </c>
      <c r="J27" t="s">
        <v>65</v>
      </c>
      <c r="K27" t="s">
        <v>86</v>
      </c>
    </row>
    <row r="28" spans="1:11" x14ac:dyDescent="0.35">
      <c r="A28" s="26">
        <v>764556</v>
      </c>
      <c r="B28" s="27">
        <v>2681163</v>
      </c>
      <c r="C28" t="s">
        <v>1353</v>
      </c>
      <c r="D28" t="s">
        <v>94</v>
      </c>
      <c r="E28" t="s">
        <v>91</v>
      </c>
      <c r="F28" s="26">
        <v>19393</v>
      </c>
      <c r="G28" t="s">
        <v>68</v>
      </c>
      <c r="H28" s="26">
        <v>16778.18</v>
      </c>
      <c r="I28" s="27">
        <v>1.0480100000000001</v>
      </c>
      <c r="J28" t="s">
        <v>76</v>
      </c>
      <c r="K28" t="s">
        <v>75</v>
      </c>
    </row>
    <row r="29" spans="1:11" x14ac:dyDescent="0.35">
      <c r="A29" s="26">
        <v>763938</v>
      </c>
      <c r="B29" s="27">
        <v>2671826</v>
      </c>
      <c r="C29" t="s">
        <v>1354</v>
      </c>
      <c r="D29" t="s">
        <v>94</v>
      </c>
      <c r="E29" t="s">
        <v>91</v>
      </c>
      <c r="F29" s="26">
        <v>2024868</v>
      </c>
      <c r="G29" t="s">
        <v>79</v>
      </c>
      <c r="H29" s="26">
        <v>2460</v>
      </c>
      <c r="I29" s="27">
        <v>1.02901</v>
      </c>
      <c r="J29" t="s">
        <v>65</v>
      </c>
      <c r="K29" t="s">
        <v>119</v>
      </c>
    </row>
    <row r="30" spans="1:11" x14ac:dyDescent="0.35">
      <c r="A30" s="26">
        <v>761122</v>
      </c>
      <c r="B30" s="27">
        <v>2875039</v>
      </c>
      <c r="C30" t="s">
        <v>118</v>
      </c>
      <c r="D30" t="s">
        <v>107</v>
      </c>
      <c r="E30" t="s">
        <v>124</v>
      </c>
      <c r="F30" s="26">
        <v>412313</v>
      </c>
      <c r="G30" t="s">
        <v>416</v>
      </c>
      <c r="H30" s="26">
        <v>2690.89</v>
      </c>
      <c r="I30" s="27">
        <v>1.02901</v>
      </c>
      <c r="J30" t="s">
        <v>76</v>
      </c>
      <c r="K30" t="s">
        <v>119</v>
      </c>
    </row>
    <row r="31" spans="1:11" x14ac:dyDescent="0.35">
      <c r="A31" s="26">
        <v>760357</v>
      </c>
      <c r="B31" s="27">
        <v>2863141</v>
      </c>
      <c r="C31" t="s">
        <v>545</v>
      </c>
      <c r="D31" t="s">
        <v>106</v>
      </c>
      <c r="E31" t="s">
        <v>78</v>
      </c>
      <c r="F31" s="26">
        <v>653367</v>
      </c>
      <c r="G31" t="s">
        <v>83</v>
      </c>
      <c r="H31" s="26">
        <v>24599</v>
      </c>
      <c r="I31" s="27">
        <v>1.0740099999999999</v>
      </c>
      <c r="J31" t="s">
        <v>76</v>
      </c>
      <c r="K31" t="s">
        <v>105</v>
      </c>
    </row>
    <row r="32" spans="1:11" x14ac:dyDescent="0.35">
      <c r="A32" s="26">
        <v>753467</v>
      </c>
      <c r="B32" s="27">
        <v>2609606</v>
      </c>
      <c r="C32" t="s">
        <v>1355</v>
      </c>
      <c r="D32" t="s">
        <v>131</v>
      </c>
      <c r="E32" t="s">
        <v>91</v>
      </c>
      <c r="F32" s="26">
        <v>4887</v>
      </c>
      <c r="G32" t="s">
        <v>68</v>
      </c>
      <c r="H32" s="26">
        <v>5000</v>
      </c>
      <c r="I32" s="27">
        <v>1.0010399999999999</v>
      </c>
      <c r="J32" t="s">
        <v>65</v>
      </c>
      <c r="K32" t="s">
        <v>86</v>
      </c>
    </row>
    <row r="33" spans="1:11" x14ac:dyDescent="0.35">
      <c r="A33" s="26">
        <v>752164</v>
      </c>
      <c r="B33" s="27">
        <v>2606136</v>
      </c>
      <c r="C33" t="s">
        <v>142</v>
      </c>
      <c r="D33" t="s">
        <v>134</v>
      </c>
      <c r="E33" t="s">
        <v>541</v>
      </c>
      <c r="F33" s="26">
        <v>2024331</v>
      </c>
      <c r="G33" t="s">
        <v>79</v>
      </c>
      <c r="H33" s="26">
        <v>1500</v>
      </c>
      <c r="I33" s="27">
        <v>1.0620099999999999</v>
      </c>
      <c r="J33" t="s">
        <v>65</v>
      </c>
      <c r="K33" t="s">
        <v>176</v>
      </c>
    </row>
    <row r="34" spans="1:11" x14ac:dyDescent="0.35">
      <c r="A34" s="26">
        <v>751919</v>
      </c>
      <c r="B34" s="27">
        <v>2606210</v>
      </c>
      <c r="C34" t="s">
        <v>421</v>
      </c>
      <c r="D34" t="s">
        <v>133</v>
      </c>
      <c r="E34" t="s">
        <v>122</v>
      </c>
      <c r="F34" s="26">
        <v>58194</v>
      </c>
      <c r="G34" t="s">
        <v>416</v>
      </c>
      <c r="H34" s="26">
        <v>26150</v>
      </c>
      <c r="I34" s="27">
        <v>1.0010399999999999</v>
      </c>
      <c r="J34" t="s">
        <v>65</v>
      </c>
      <c r="K34" t="s">
        <v>86</v>
      </c>
    </row>
    <row r="35" spans="1:11" x14ac:dyDescent="0.35">
      <c r="A35" s="26">
        <v>750568</v>
      </c>
      <c r="B35" s="27">
        <v>2612359</v>
      </c>
      <c r="C35" t="s">
        <v>136</v>
      </c>
      <c r="D35" t="s">
        <v>134</v>
      </c>
      <c r="E35" t="s">
        <v>78</v>
      </c>
      <c r="F35" s="26">
        <v>395</v>
      </c>
      <c r="G35" t="s">
        <v>137</v>
      </c>
      <c r="H35" s="26">
        <v>25000</v>
      </c>
      <c r="I35" s="27">
        <v>1.0010399999999999</v>
      </c>
      <c r="J35" t="s">
        <v>65</v>
      </c>
      <c r="K35" t="s">
        <v>86</v>
      </c>
    </row>
    <row r="36" spans="1:11" x14ac:dyDescent="0.35">
      <c r="A36" s="26">
        <v>786004</v>
      </c>
      <c r="B36" s="27">
        <v>2881645</v>
      </c>
      <c r="C36" t="s">
        <v>1356</v>
      </c>
      <c r="D36" t="s">
        <v>116</v>
      </c>
      <c r="E36" t="s">
        <v>124</v>
      </c>
      <c r="F36" s="26">
        <v>1004036</v>
      </c>
      <c r="G36" t="s">
        <v>1339</v>
      </c>
      <c r="H36" s="26">
        <v>450</v>
      </c>
      <c r="I36" s="27">
        <v>1.02101</v>
      </c>
      <c r="J36" t="s">
        <v>65</v>
      </c>
      <c r="K36" t="s">
        <v>148</v>
      </c>
    </row>
    <row r="37" spans="1:11" x14ac:dyDescent="0.35">
      <c r="A37" s="26">
        <v>780829</v>
      </c>
      <c r="B37" s="27">
        <v>2868596</v>
      </c>
      <c r="C37" t="s">
        <v>144</v>
      </c>
      <c r="D37" t="s">
        <v>108</v>
      </c>
      <c r="E37" t="s">
        <v>124</v>
      </c>
      <c r="F37" s="26">
        <v>103417</v>
      </c>
      <c r="G37" t="s">
        <v>416</v>
      </c>
      <c r="H37" s="26">
        <v>5310</v>
      </c>
      <c r="I37" s="27">
        <v>1.06501</v>
      </c>
      <c r="J37" t="s">
        <v>143</v>
      </c>
      <c r="K37" t="s">
        <v>145</v>
      </c>
    </row>
    <row r="38" spans="1:11" x14ac:dyDescent="0.35">
      <c r="A38" s="26">
        <v>788854</v>
      </c>
      <c r="B38" s="27">
        <v>2886874</v>
      </c>
      <c r="C38" t="s">
        <v>1357</v>
      </c>
      <c r="D38" t="s">
        <v>120</v>
      </c>
      <c r="E38" t="s">
        <v>127</v>
      </c>
      <c r="F38" s="26">
        <v>32</v>
      </c>
      <c r="G38" t="s">
        <v>79</v>
      </c>
      <c r="H38" s="26">
        <v>2640</v>
      </c>
      <c r="I38" s="27">
        <v>1.09701</v>
      </c>
      <c r="J38" t="s">
        <v>76</v>
      </c>
      <c r="K38" t="s">
        <v>417</v>
      </c>
    </row>
    <row r="39" spans="1:11" x14ac:dyDescent="0.35">
      <c r="A39" s="26">
        <v>785453</v>
      </c>
      <c r="B39" s="27">
        <v>2879714</v>
      </c>
      <c r="C39" t="s">
        <v>1358</v>
      </c>
      <c r="D39" t="s">
        <v>129</v>
      </c>
      <c r="E39" t="s">
        <v>127</v>
      </c>
      <c r="F39" s="26">
        <v>1924</v>
      </c>
      <c r="G39" t="s">
        <v>1339</v>
      </c>
      <c r="H39" s="26">
        <v>2821.2</v>
      </c>
      <c r="I39" s="27">
        <v>1.07301</v>
      </c>
      <c r="J39" t="s">
        <v>76</v>
      </c>
      <c r="K39" t="s">
        <v>80</v>
      </c>
    </row>
    <row r="40" spans="1:11" x14ac:dyDescent="0.35">
      <c r="A40" s="26">
        <v>781158</v>
      </c>
      <c r="B40" s="27">
        <v>2869948</v>
      </c>
      <c r="C40" t="s">
        <v>153</v>
      </c>
      <c r="D40" t="s">
        <v>135</v>
      </c>
      <c r="E40" t="s">
        <v>127</v>
      </c>
      <c r="F40" s="26">
        <v>50</v>
      </c>
      <c r="G40" t="s">
        <v>123</v>
      </c>
      <c r="H40" s="26">
        <v>8400</v>
      </c>
      <c r="I40" s="27">
        <v>1.0010399999999999</v>
      </c>
      <c r="J40" t="s">
        <v>65</v>
      </c>
      <c r="K40" t="s">
        <v>86</v>
      </c>
    </row>
    <row r="41" spans="1:11" x14ac:dyDescent="0.35">
      <c r="A41" s="26">
        <v>790988</v>
      </c>
      <c r="B41" s="27">
        <v>2891813</v>
      </c>
      <c r="C41" t="s">
        <v>1359</v>
      </c>
      <c r="D41" t="s">
        <v>74</v>
      </c>
      <c r="E41" t="s">
        <v>141</v>
      </c>
      <c r="F41" s="26">
        <v>20241046</v>
      </c>
      <c r="G41" t="s">
        <v>68</v>
      </c>
      <c r="H41" s="26">
        <v>10879</v>
      </c>
      <c r="I41" s="27">
        <v>1.07701</v>
      </c>
      <c r="J41" t="s">
        <v>65</v>
      </c>
      <c r="K41" t="s">
        <v>132</v>
      </c>
    </row>
    <row r="42" spans="1:11" x14ac:dyDescent="0.35">
      <c r="A42" s="26">
        <v>790924</v>
      </c>
      <c r="B42" s="27">
        <v>2891469</v>
      </c>
      <c r="C42" t="s">
        <v>1360</v>
      </c>
      <c r="D42" t="s">
        <v>124</v>
      </c>
      <c r="E42" t="s">
        <v>141</v>
      </c>
      <c r="F42" s="26">
        <v>7290</v>
      </c>
      <c r="G42" t="s">
        <v>68</v>
      </c>
      <c r="H42" s="26">
        <v>1750</v>
      </c>
      <c r="I42" s="27">
        <v>1.09301</v>
      </c>
      <c r="J42" t="s">
        <v>65</v>
      </c>
      <c r="K42" t="s">
        <v>617</v>
      </c>
    </row>
    <row r="43" spans="1:11" x14ac:dyDescent="0.35">
      <c r="A43" s="26">
        <v>781630</v>
      </c>
      <c r="B43" s="27">
        <v>2871727</v>
      </c>
      <c r="C43" t="s">
        <v>1361</v>
      </c>
      <c r="D43" t="s">
        <v>135</v>
      </c>
      <c r="E43" t="s">
        <v>141</v>
      </c>
      <c r="F43" s="26">
        <v>558</v>
      </c>
      <c r="G43" t="s">
        <v>68</v>
      </c>
      <c r="H43" s="26">
        <v>230</v>
      </c>
      <c r="I43" s="27">
        <v>1.00101</v>
      </c>
      <c r="J43" t="s">
        <v>65</v>
      </c>
      <c r="K43" t="s">
        <v>86</v>
      </c>
    </row>
    <row r="44" spans="1:11" x14ac:dyDescent="0.35">
      <c r="A44" s="26">
        <v>792801</v>
      </c>
      <c r="B44" s="27">
        <v>2894862</v>
      </c>
      <c r="C44" t="s">
        <v>563</v>
      </c>
      <c r="D44" t="s">
        <v>127</v>
      </c>
      <c r="E44" t="s">
        <v>91</v>
      </c>
      <c r="F44" s="26">
        <v>2460</v>
      </c>
      <c r="G44" t="s">
        <v>79</v>
      </c>
      <c r="H44" s="26">
        <v>1576.65</v>
      </c>
      <c r="I44" s="27">
        <v>1.07701</v>
      </c>
      <c r="J44" t="s">
        <v>76</v>
      </c>
      <c r="K44" t="s">
        <v>132</v>
      </c>
    </row>
    <row r="45" spans="1:11" x14ac:dyDescent="0.35">
      <c r="A45" s="26">
        <v>792757</v>
      </c>
      <c r="B45" s="27">
        <v>2894103</v>
      </c>
      <c r="C45" t="s">
        <v>1362</v>
      </c>
      <c r="D45" t="s">
        <v>127</v>
      </c>
      <c r="E45" t="s">
        <v>91</v>
      </c>
      <c r="F45" s="26">
        <v>84434</v>
      </c>
      <c r="G45" t="s">
        <v>79</v>
      </c>
      <c r="H45" s="26">
        <v>559.96</v>
      </c>
      <c r="I45" s="27">
        <v>1.07701</v>
      </c>
      <c r="J45" t="s">
        <v>143</v>
      </c>
      <c r="K45" t="s">
        <v>132</v>
      </c>
    </row>
    <row r="46" spans="1:11" x14ac:dyDescent="0.35">
      <c r="A46" s="26">
        <v>790969</v>
      </c>
      <c r="B46" s="27">
        <v>2891570</v>
      </c>
      <c r="C46" t="s">
        <v>1363</v>
      </c>
      <c r="D46" t="s">
        <v>116</v>
      </c>
      <c r="E46" t="s">
        <v>91</v>
      </c>
      <c r="F46" s="26">
        <v>4622</v>
      </c>
      <c r="G46" t="s">
        <v>79</v>
      </c>
      <c r="H46" s="26">
        <v>228.39</v>
      </c>
      <c r="I46" s="27">
        <v>1.04905</v>
      </c>
      <c r="J46" t="s">
        <v>65</v>
      </c>
      <c r="K46" t="s">
        <v>166</v>
      </c>
    </row>
    <row r="47" spans="1:11" x14ac:dyDescent="0.35">
      <c r="A47" s="26">
        <v>788101</v>
      </c>
      <c r="B47" s="27">
        <v>2886602</v>
      </c>
      <c r="C47" t="s">
        <v>1364</v>
      </c>
      <c r="D47" t="s">
        <v>78</v>
      </c>
      <c r="E47" t="s">
        <v>67</v>
      </c>
      <c r="F47" s="26">
        <v>32004</v>
      </c>
      <c r="G47" t="s">
        <v>79</v>
      </c>
      <c r="H47" s="26">
        <v>192.71</v>
      </c>
      <c r="I47" s="27">
        <v>1.05802</v>
      </c>
      <c r="J47" t="s">
        <v>76</v>
      </c>
      <c r="K47" t="s">
        <v>469</v>
      </c>
    </row>
    <row r="48" spans="1:11" x14ac:dyDescent="0.35">
      <c r="A48" s="26">
        <v>787261</v>
      </c>
      <c r="B48" s="27">
        <v>2882967</v>
      </c>
      <c r="C48" t="s">
        <v>1365</v>
      </c>
      <c r="D48" t="s">
        <v>78</v>
      </c>
      <c r="E48" t="s">
        <v>91</v>
      </c>
      <c r="F48" s="26">
        <v>3112</v>
      </c>
      <c r="G48" t="s">
        <v>79</v>
      </c>
      <c r="H48" s="26">
        <v>4650</v>
      </c>
      <c r="I48" s="27">
        <v>1.00901</v>
      </c>
      <c r="J48" t="s">
        <v>65</v>
      </c>
      <c r="K48" t="s">
        <v>195</v>
      </c>
    </row>
    <row r="49" spans="1:11" x14ac:dyDescent="0.35">
      <c r="A49" s="26">
        <v>787260</v>
      </c>
      <c r="B49" s="27">
        <v>2882880</v>
      </c>
      <c r="C49" t="s">
        <v>1365</v>
      </c>
      <c r="D49" t="s">
        <v>78</v>
      </c>
      <c r="E49" t="s">
        <v>91</v>
      </c>
      <c r="F49" s="26">
        <v>3111</v>
      </c>
      <c r="G49" t="s">
        <v>79</v>
      </c>
      <c r="H49" s="26">
        <v>4650</v>
      </c>
      <c r="I49" s="27">
        <v>1.00901</v>
      </c>
      <c r="J49" t="s">
        <v>65</v>
      </c>
      <c r="K49" t="s">
        <v>195</v>
      </c>
    </row>
    <row r="50" spans="1:11" x14ac:dyDescent="0.35">
      <c r="A50" s="26">
        <v>786029</v>
      </c>
      <c r="B50" s="27">
        <v>2881777</v>
      </c>
      <c r="C50" t="s">
        <v>1366</v>
      </c>
      <c r="D50" t="s">
        <v>116</v>
      </c>
      <c r="E50" t="s">
        <v>91</v>
      </c>
      <c r="F50" s="26">
        <v>270</v>
      </c>
      <c r="G50" t="s">
        <v>79</v>
      </c>
      <c r="H50" s="26">
        <v>450</v>
      </c>
      <c r="I50" s="27">
        <v>1.0170300000000001</v>
      </c>
      <c r="J50" t="s">
        <v>65</v>
      </c>
      <c r="K50" t="s">
        <v>190</v>
      </c>
    </row>
    <row r="51" spans="1:11" x14ac:dyDescent="0.35">
      <c r="A51" s="26">
        <v>784529</v>
      </c>
      <c r="B51" s="27">
        <v>2878486</v>
      </c>
      <c r="C51" t="s">
        <v>1367</v>
      </c>
      <c r="D51" t="s">
        <v>129</v>
      </c>
      <c r="E51" t="s">
        <v>91</v>
      </c>
      <c r="F51" s="26">
        <v>461</v>
      </c>
      <c r="G51" t="s">
        <v>1339</v>
      </c>
      <c r="H51" s="26">
        <v>1619.8</v>
      </c>
      <c r="I51" s="27">
        <v>1.06501</v>
      </c>
      <c r="J51" t="s">
        <v>76</v>
      </c>
      <c r="K51" t="s">
        <v>145</v>
      </c>
    </row>
    <row r="52" spans="1:11" x14ac:dyDescent="0.35">
      <c r="A52" s="26">
        <v>783147</v>
      </c>
      <c r="B52" s="27">
        <v>2875977</v>
      </c>
      <c r="C52" t="s">
        <v>1368</v>
      </c>
      <c r="D52" t="s">
        <v>139</v>
      </c>
      <c r="E52" t="s">
        <v>91</v>
      </c>
      <c r="F52" s="26">
        <v>2024279</v>
      </c>
      <c r="G52" t="s">
        <v>79</v>
      </c>
      <c r="H52" s="26">
        <v>430.86</v>
      </c>
      <c r="I52" s="27">
        <v>1.07101</v>
      </c>
      <c r="J52" t="s">
        <v>65</v>
      </c>
      <c r="K52" t="s">
        <v>112</v>
      </c>
    </row>
    <row r="53" spans="1:11" x14ac:dyDescent="0.35">
      <c r="A53" s="26">
        <v>783014</v>
      </c>
      <c r="B53" s="27">
        <v>2875804</v>
      </c>
      <c r="C53" t="s">
        <v>1368</v>
      </c>
      <c r="D53" t="s">
        <v>139</v>
      </c>
      <c r="E53" t="s">
        <v>91</v>
      </c>
      <c r="F53" s="26">
        <v>2024286</v>
      </c>
      <c r="G53" t="s">
        <v>79</v>
      </c>
      <c r="H53" s="26">
        <v>1405.03</v>
      </c>
      <c r="I53" s="27">
        <v>1.02701</v>
      </c>
      <c r="J53" t="s">
        <v>65</v>
      </c>
      <c r="K53" t="s">
        <v>179</v>
      </c>
    </row>
    <row r="54" spans="1:11" x14ac:dyDescent="0.35">
      <c r="A54" s="26">
        <v>782803</v>
      </c>
      <c r="B54" s="27">
        <v>2874886</v>
      </c>
      <c r="C54" t="s">
        <v>162</v>
      </c>
      <c r="D54" t="s">
        <v>139</v>
      </c>
      <c r="E54" t="s">
        <v>91</v>
      </c>
      <c r="F54" s="26">
        <v>1345</v>
      </c>
      <c r="G54" t="s">
        <v>1339</v>
      </c>
      <c r="H54" s="26">
        <v>4161.72</v>
      </c>
      <c r="I54" s="27">
        <v>1.00101</v>
      </c>
      <c r="J54" t="s">
        <v>76</v>
      </c>
      <c r="K54" t="s">
        <v>86</v>
      </c>
    </row>
    <row r="55" spans="1:11" x14ac:dyDescent="0.35">
      <c r="A55" s="26">
        <v>781673</v>
      </c>
      <c r="B55" s="27">
        <v>2872033</v>
      </c>
      <c r="C55" t="s">
        <v>1369</v>
      </c>
      <c r="D55" t="s">
        <v>135</v>
      </c>
      <c r="E55" t="s">
        <v>91</v>
      </c>
      <c r="F55" s="26">
        <v>465</v>
      </c>
      <c r="G55" t="s">
        <v>68</v>
      </c>
      <c r="H55" s="26">
        <v>24300</v>
      </c>
      <c r="I55" s="27">
        <v>1.0100100000000001</v>
      </c>
      <c r="J55" t="s">
        <v>65</v>
      </c>
      <c r="K55" t="s">
        <v>69</v>
      </c>
    </row>
    <row r="56" spans="1:11" x14ac:dyDescent="0.35">
      <c r="A56" s="26">
        <v>781672</v>
      </c>
      <c r="B56" s="27">
        <v>2872029</v>
      </c>
      <c r="C56" t="s">
        <v>1369</v>
      </c>
      <c r="D56" t="s">
        <v>135</v>
      </c>
      <c r="E56" t="s">
        <v>91</v>
      </c>
      <c r="F56" s="26">
        <v>464</v>
      </c>
      <c r="G56" t="s">
        <v>68</v>
      </c>
      <c r="H56" s="26">
        <v>24300</v>
      </c>
      <c r="I56" s="27">
        <v>1.0600099999999999</v>
      </c>
      <c r="J56" t="s">
        <v>65</v>
      </c>
      <c r="K56" t="s">
        <v>1370</v>
      </c>
    </row>
    <row r="57" spans="1:11" x14ac:dyDescent="0.35">
      <c r="A57" s="26">
        <v>780866</v>
      </c>
      <c r="B57" s="27">
        <v>2868730</v>
      </c>
      <c r="C57" t="s">
        <v>169</v>
      </c>
      <c r="D57" t="s">
        <v>111</v>
      </c>
      <c r="E57" t="s">
        <v>91</v>
      </c>
      <c r="F57" s="26">
        <v>9068761</v>
      </c>
      <c r="G57" t="s">
        <v>83</v>
      </c>
      <c r="H57" s="26">
        <v>755</v>
      </c>
      <c r="I57" s="27">
        <v>1.0480100000000001</v>
      </c>
      <c r="J57" t="s">
        <v>76</v>
      </c>
      <c r="K57" t="s">
        <v>75</v>
      </c>
    </row>
    <row r="58" spans="1:11" x14ac:dyDescent="0.35">
      <c r="A58" s="26">
        <v>791006</v>
      </c>
      <c r="B58" s="27">
        <v>2892157</v>
      </c>
      <c r="C58" t="s">
        <v>1371</v>
      </c>
      <c r="D58" t="s">
        <v>74</v>
      </c>
      <c r="E58" t="s">
        <v>224</v>
      </c>
      <c r="F58" s="26">
        <v>241422</v>
      </c>
      <c r="G58" t="s">
        <v>68</v>
      </c>
      <c r="H58" s="26">
        <v>19</v>
      </c>
      <c r="I58" s="27">
        <v>1.1000099999999999</v>
      </c>
      <c r="J58" t="s">
        <v>65</v>
      </c>
      <c r="K58" t="s">
        <v>217</v>
      </c>
    </row>
    <row r="59" spans="1:11" x14ac:dyDescent="0.35">
      <c r="A59" s="26">
        <v>784564</v>
      </c>
      <c r="B59" s="27">
        <v>2888504</v>
      </c>
      <c r="C59" t="s">
        <v>174</v>
      </c>
      <c r="D59" t="s">
        <v>129</v>
      </c>
      <c r="E59" t="s">
        <v>71</v>
      </c>
      <c r="F59" s="26">
        <v>17572</v>
      </c>
      <c r="G59" t="s">
        <v>79</v>
      </c>
      <c r="H59" s="26">
        <v>307.85000000000002</v>
      </c>
      <c r="I59" s="27">
        <v>1.0460199999999999</v>
      </c>
      <c r="J59" t="s">
        <v>65</v>
      </c>
      <c r="K59" t="s">
        <v>66</v>
      </c>
    </row>
    <row r="60" spans="1:11" x14ac:dyDescent="0.35">
      <c r="A60" s="26">
        <v>781539</v>
      </c>
      <c r="B60" s="27">
        <v>2871292</v>
      </c>
      <c r="C60" t="s">
        <v>423</v>
      </c>
      <c r="D60" t="s">
        <v>135</v>
      </c>
      <c r="E60" t="s">
        <v>71</v>
      </c>
      <c r="F60" s="26">
        <v>541436</v>
      </c>
      <c r="G60" t="s">
        <v>416</v>
      </c>
      <c r="H60" s="26">
        <v>31490.78</v>
      </c>
      <c r="I60" s="27">
        <v>1.0010399999999999</v>
      </c>
      <c r="J60" t="s">
        <v>65</v>
      </c>
      <c r="K60" t="s">
        <v>86</v>
      </c>
    </row>
    <row r="61" spans="1:11" x14ac:dyDescent="0.35">
      <c r="A61" s="26">
        <v>781098</v>
      </c>
      <c r="B61" s="27">
        <v>2869914</v>
      </c>
      <c r="C61" t="s">
        <v>177</v>
      </c>
      <c r="D61" t="s">
        <v>178</v>
      </c>
      <c r="E61" t="s">
        <v>71</v>
      </c>
      <c r="F61" s="26">
        <v>4417</v>
      </c>
      <c r="G61" t="s">
        <v>123</v>
      </c>
      <c r="H61" s="26">
        <v>4180</v>
      </c>
      <c r="I61" s="27">
        <v>1.0010399999999999</v>
      </c>
      <c r="J61" t="s">
        <v>65</v>
      </c>
      <c r="K61" t="s">
        <v>86</v>
      </c>
    </row>
    <row r="62" spans="1:11" x14ac:dyDescent="0.35">
      <c r="A62" s="26">
        <v>781076</v>
      </c>
      <c r="B62" s="27">
        <v>2869851</v>
      </c>
      <c r="C62" t="s">
        <v>168</v>
      </c>
      <c r="D62" t="s">
        <v>111</v>
      </c>
      <c r="E62" t="s">
        <v>71</v>
      </c>
      <c r="F62" s="26">
        <v>6935</v>
      </c>
      <c r="G62" t="s">
        <v>416</v>
      </c>
      <c r="H62" s="26">
        <v>1960</v>
      </c>
      <c r="I62" s="27">
        <v>1.02701</v>
      </c>
      <c r="J62" t="s">
        <v>65</v>
      </c>
      <c r="K62" t="s">
        <v>179</v>
      </c>
    </row>
    <row r="63" spans="1:11" x14ac:dyDescent="0.35">
      <c r="A63" s="26">
        <v>781075</v>
      </c>
      <c r="B63" s="27">
        <v>2869988</v>
      </c>
      <c r="C63" t="s">
        <v>168</v>
      </c>
      <c r="D63" t="s">
        <v>111</v>
      </c>
      <c r="E63" t="s">
        <v>71</v>
      </c>
      <c r="F63" s="26">
        <v>6937</v>
      </c>
      <c r="G63" t="s">
        <v>416</v>
      </c>
      <c r="H63" s="26">
        <v>1680</v>
      </c>
      <c r="I63" s="27">
        <v>1.00101</v>
      </c>
      <c r="J63" t="s">
        <v>65</v>
      </c>
      <c r="K63" t="s">
        <v>86</v>
      </c>
    </row>
    <row r="64" spans="1:11" x14ac:dyDescent="0.35">
      <c r="A64" s="26">
        <v>781065</v>
      </c>
      <c r="B64" s="27">
        <v>2869903</v>
      </c>
      <c r="C64" t="s">
        <v>168</v>
      </c>
      <c r="D64" t="s">
        <v>111</v>
      </c>
      <c r="E64" t="s">
        <v>71</v>
      </c>
      <c r="F64" s="26">
        <v>6940</v>
      </c>
      <c r="G64" t="s">
        <v>416</v>
      </c>
      <c r="H64" s="26">
        <v>18535</v>
      </c>
      <c r="I64" s="27">
        <v>1.02701</v>
      </c>
      <c r="J64" t="s">
        <v>65</v>
      </c>
      <c r="K64" t="s">
        <v>179</v>
      </c>
    </row>
    <row r="65" spans="1:11" x14ac:dyDescent="0.35">
      <c r="A65" s="26">
        <v>792794</v>
      </c>
      <c r="B65" s="27">
        <v>2894536</v>
      </c>
      <c r="C65" t="s">
        <v>1372</v>
      </c>
      <c r="D65" t="s">
        <v>127</v>
      </c>
      <c r="E65" t="s">
        <v>67</v>
      </c>
      <c r="F65" s="26">
        <v>5134</v>
      </c>
      <c r="G65" t="s">
        <v>79</v>
      </c>
      <c r="H65" s="26">
        <v>380</v>
      </c>
      <c r="I65" s="27">
        <v>1.09701</v>
      </c>
      <c r="J65" t="s">
        <v>76</v>
      </c>
      <c r="K65" t="s">
        <v>417</v>
      </c>
    </row>
    <row r="66" spans="1:11" x14ac:dyDescent="0.35">
      <c r="A66" s="26">
        <v>791070</v>
      </c>
      <c r="B66" s="27">
        <v>2892749</v>
      </c>
      <c r="C66" t="s">
        <v>1373</v>
      </c>
      <c r="D66" t="s">
        <v>74</v>
      </c>
      <c r="E66" t="s">
        <v>211</v>
      </c>
      <c r="F66" s="26">
        <v>37</v>
      </c>
      <c r="G66" t="s">
        <v>79</v>
      </c>
      <c r="H66" s="26">
        <v>1320</v>
      </c>
      <c r="I66" s="27">
        <v>1.09101</v>
      </c>
      <c r="J66" t="s">
        <v>65</v>
      </c>
      <c r="K66" t="s">
        <v>138</v>
      </c>
    </row>
    <row r="67" spans="1:11" x14ac:dyDescent="0.35">
      <c r="A67" s="26">
        <v>790913</v>
      </c>
      <c r="B67" s="27">
        <v>2891398</v>
      </c>
      <c r="C67" t="s">
        <v>1374</v>
      </c>
      <c r="D67" t="s">
        <v>134</v>
      </c>
      <c r="E67" t="s">
        <v>67</v>
      </c>
      <c r="F67" s="26">
        <v>3098</v>
      </c>
      <c r="G67" t="s">
        <v>68</v>
      </c>
      <c r="H67" s="26">
        <v>20000</v>
      </c>
      <c r="I67" s="27">
        <v>1.0010399999999999</v>
      </c>
      <c r="J67" t="s">
        <v>65</v>
      </c>
      <c r="K67" t="s">
        <v>86</v>
      </c>
    </row>
    <row r="68" spans="1:11" x14ac:dyDescent="0.35">
      <c r="A68" s="26">
        <v>790908</v>
      </c>
      <c r="B68" s="27">
        <v>2891206</v>
      </c>
      <c r="C68" t="s">
        <v>1375</v>
      </c>
      <c r="D68" t="s">
        <v>74</v>
      </c>
      <c r="E68" t="s">
        <v>67</v>
      </c>
      <c r="F68" s="26">
        <v>2084</v>
      </c>
      <c r="G68" t="s">
        <v>79</v>
      </c>
      <c r="H68" s="26">
        <v>2340</v>
      </c>
      <c r="I68" s="27">
        <v>1.03101</v>
      </c>
      <c r="J68" t="s">
        <v>76</v>
      </c>
      <c r="K68" t="s">
        <v>207</v>
      </c>
    </row>
    <row r="69" spans="1:11" x14ac:dyDescent="0.35">
      <c r="A69" s="26">
        <v>789226</v>
      </c>
      <c r="B69" s="27">
        <v>2889465</v>
      </c>
      <c r="C69" t="s">
        <v>1376</v>
      </c>
      <c r="D69" t="s">
        <v>135</v>
      </c>
      <c r="E69" t="s">
        <v>67</v>
      </c>
      <c r="F69" s="26">
        <v>5964</v>
      </c>
      <c r="G69" t="s">
        <v>79</v>
      </c>
      <c r="H69" s="26">
        <v>365</v>
      </c>
      <c r="I69" s="27">
        <v>1.05501</v>
      </c>
      <c r="J69" t="s">
        <v>65</v>
      </c>
      <c r="K69" t="s">
        <v>561</v>
      </c>
    </row>
    <row r="70" spans="1:11" x14ac:dyDescent="0.35">
      <c r="A70" s="26">
        <v>789025</v>
      </c>
      <c r="B70" s="27">
        <v>2888555</v>
      </c>
      <c r="C70" t="s">
        <v>1377</v>
      </c>
      <c r="D70" t="s">
        <v>124</v>
      </c>
      <c r="E70" t="s">
        <v>67</v>
      </c>
      <c r="F70" s="26">
        <v>645</v>
      </c>
      <c r="G70" t="s">
        <v>79</v>
      </c>
      <c r="H70" s="26">
        <v>198</v>
      </c>
      <c r="I70" s="27">
        <v>1.07301</v>
      </c>
      <c r="J70" t="s">
        <v>65</v>
      </c>
      <c r="K70" t="s">
        <v>80</v>
      </c>
    </row>
    <row r="71" spans="1:11" x14ac:dyDescent="0.35">
      <c r="A71" s="26">
        <v>788999</v>
      </c>
      <c r="B71" s="27">
        <v>2888333</v>
      </c>
      <c r="C71" t="s">
        <v>1378</v>
      </c>
      <c r="D71" t="s">
        <v>124</v>
      </c>
      <c r="E71" t="s">
        <v>67</v>
      </c>
      <c r="F71" s="26">
        <v>2024705</v>
      </c>
      <c r="G71" t="s">
        <v>68</v>
      </c>
      <c r="H71" s="26">
        <v>40250</v>
      </c>
      <c r="I71" s="27">
        <v>1.02901</v>
      </c>
      <c r="J71" t="s">
        <v>65</v>
      </c>
      <c r="K71" t="s">
        <v>119</v>
      </c>
    </row>
    <row r="72" spans="1:11" x14ac:dyDescent="0.35">
      <c r="A72" s="26">
        <v>783015</v>
      </c>
      <c r="B72" s="27">
        <v>2876154</v>
      </c>
      <c r="C72" t="s">
        <v>1379</v>
      </c>
      <c r="D72" t="s">
        <v>135</v>
      </c>
      <c r="E72" t="s">
        <v>67</v>
      </c>
      <c r="F72" s="26">
        <v>107293</v>
      </c>
      <c r="G72" t="s">
        <v>79</v>
      </c>
      <c r="H72" s="26">
        <v>390</v>
      </c>
      <c r="I72" s="27">
        <v>1.09101</v>
      </c>
      <c r="J72" t="s">
        <v>143</v>
      </c>
      <c r="K72" t="s">
        <v>138</v>
      </c>
    </row>
    <row r="73" spans="1:11" x14ac:dyDescent="0.35">
      <c r="A73" s="26">
        <v>782965</v>
      </c>
      <c r="B73" s="27">
        <v>2875373</v>
      </c>
      <c r="C73" t="s">
        <v>1380</v>
      </c>
      <c r="D73" t="s">
        <v>139</v>
      </c>
      <c r="E73" t="s">
        <v>67</v>
      </c>
      <c r="F73" s="26">
        <v>5078</v>
      </c>
      <c r="G73" t="s">
        <v>79</v>
      </c>
      <c r="H73" s="26">
        <v>790</v>
      </c>
      <c r="I73" s="27">
        <v>1.0900399999999999</v>
      </c>
      <c r="J73" t="s">
        <v>65</v>
      </c>
      <c r="K73" t="s">
        <v>72</v>
      </c>
    </row>
    <row r="74" spans="1:11" x14ac:dyDescent="0.35">
      <c r="A74" s="26">
        <v>782932</v>
      </c>
      <c r="B74" s="27">
        <v>2875198</v>
      </c>
      <c r="C74" t="s">
        <v>183</v>
      </c>
      <c r="D74" t="s">
        <v>139</v>
      </c>
      <c r="E74" t="s">
        <v>67</v>
      </c>
      <c r="F74" s="26">
        <v>1120907</v>
      </c>
      <c r="G74" t="s">
        <v>201</v>
      </c>
      <c r="H74" s="26">
        <v>4010</v>
      </c>
      <c r="I74" s="27">
        <v>1.0100100000000001</v>
      </c>
      <c r="J74" t="s">
        <v>65</v>
      </c>
      <c r="K74" t="s">
        <v>69</v>
      </c>
    </row>
    <row r="75" spans="1:11" x14ac:dyDescent="0.35">
      <c r="A75" s="26">
        <v>781660</v>
      </c>
      <c r="B75" s="27">
        <v>2871909</v>
      </c>
      <c r="C75" t="s">
        <v>1381</v>
      </c>
      <c r="D75" t="s">
        <v>135</v>
      </c>
      <c r="E75" t="s">
        <v>67</v>
      </c>
      <c r="F75" s="26">
        <v>20247587</v>
      </c>
      <c r="G75" t="s">
        <v>68</v>
      </c>
      <c r="H75" s="26">
        <v>1764</v>
      </c>
      <c r="I75" s="27">
        <v>1.02901</v>
      </c>
      <c r="J75" t="s">
        <v>65</v>
      </c>
      <c r="K75" t="s">
        <v>119</v>
      </c>
    </row>
    <row r="76" spans="1:11" x14ac:dyDescent="0.35">
      <c r="A76" s="26">
        <v>781657</v>
      </c>
      <c r="B76" s="27">
        <v>2871892</v>
      </c>
      <c r="C76" t="s">
        <v>1381</v>
      </c>
      <c r="D76" t="s">
        <v>135</v>
      </c>
      <c r="E76" t="s">
        <v>67</v>
      </c>
      <c r="F76" s="26">
        <v>20247586</v>
      </c>
      <c r="G76" t="s">
        <v>68</v>
      </c>
      <c r="H76" s="26">
        <v>3057.6</v>
      </c>
      <c r="I76" s="27">
        <v>1.02901</v>
      </c>
      <c r="J76" t="s">
        <v>65</v>
      </c>
      <c r="K76" t="s">
        <v>119</v>
      </c>
    </row>
    <row r="77" spans="1:11" x14ac:dyDescent="0.35">
      <c r="A77" s="26">
        <v>787422</v>
      </c>
      <c r="B77" s="27">
        <v>2884489</v>
      </c>
      <c r="C77" t="s">
        <v>191</v>
      </c>
      <c r="D77" t="s">
        <v>78</v>
      </c>
      <c r="E77" t="s">
        <v>188</v>
      </c>
      <c r="F77" s="26">
        <v>14371</v>
      </c>
      <c r="G77" t="s">
        <v>68</v>
      </c>
      <c r="H77" s="26">
        <v>2730</v>
      </c>
      <c r="I77" s="27">
        <v>1.02901</v>
      </c>
      <c r="J77" t="s">
        <v>65</v>
      </c>
      <c r="K77" t="s">
        <v>119</v>
      </c>
    </row>
    <row r="78" spans="1:11" x14ac:dyDescent="0.35">
      <c r="A78" s="26">
        <v>783341</v>
      </c>
      <c r="B78" s="27">
        <v>2876604</v>
      </c>
      <c r="C78" t="s">
        <v>189</v>
      </c>
      <c r="D78" t="s">
        <v>139</v>
      </c>
      <c r="E78" t="s">
        <v>188</v>
      </c>
      <c r="F78" s="26">
        <v>54789</v>
      </c>
      <c r="G78" t="s">
        <v>83</v>
      </c>
      <c r="H78" s="26">
        <v>395.76</v>
      </c>
      <c r="I78" s="27">
        <v>1.01702</v>
      </c>
      <c r="J78" t="s">
        <v>76</v>
      </c>
      <c r="K78" t="s">
        <v>190</v>
      </c>
    </row>
    <row r="79" spans="1:11" x14ac:dyDescent="0.35">
      <c r="A79" s="26">
        <v>782973</v>
      </c>
      <c r="B79" s="27">
        <v>2875480</v>
      </c>
      <c r="C79" t="s">
        <v>1379</v>
      </c>
      <c r="D79" t="s">
        <v>135</v>
      </c>
      <c r="E79" t="s">
        <v>188</v>
      </c>
      <c r="F79" s="26">
        <v>150840</v>
      </c>
      <c r="G79" t="s">
        <v>79</v>
      </c>
      <c r="H79" s="26">
        <v>1142</v>
      </c>
      <c r="I79" s="27">
        <v>1.0740099999999999</v>
      </c>
      <c r="J79" t="s">
        <v>143</v>
      </c>
      <c r="K79" t="s">
        <v>105</v>
      </c>
    </row>
    <row r="80" spans="1:11" x14ac:dyDescent="0.35">
      <c r="A80" s="26">
        <v>782755</v>
      </c>
      <c r="B80" s="27">
        <v>2874799</v>
      </c>
      <c r="C80" t="s">
        <v>1379</v>
      </c>
      <c r="D80" t="s">
        <v>135</v>
      </c>
      <c r="E80" t="s">
        <v>188</v>
      </c>
      <c r="F80" s="26">
        <v>107292</v>
      </c>
      <c r="G80" t="s">
        <v>79</v>
      </c>
      <c r="H80" s="26">
        <v>390</v>
      </c>
      <c r="I80" s="27">
        <v>1.09101</v>
      </c>
      <c r="J80" t="s">
        <v>143</v>
      </c>
      <c r="K80" t="s">
        <v>138</v>
      </c>
    </row>
    <row r="81" spans="1:11" x14ac:dyDescent="0.35">
      <c r="A81" s="26">
        <v>781311</v>
      </c>
      <c r="B81" s="27">
        <v>2870288</v>
      </c>
      <c r="C81" t="s">
        <v>191</v>
      </c>
      <c r="D81" t="s">
        <v>135</v>
      </c>
      <c r="E81" t="s">
        <v>188</v>
      </c>
      <c r="F81" s="26">
        <v>14340</v>
      </c>
      <c r="G81" t="s">
        <v>137</v>
      </c>
      <c r="H81" s="26">
        <v>643.5</v>
      </c>
      <c r="I81" s="27">
        <v>1.09501</v>
      </c>
      <c r="J81" t="s">
        <v>65</v>
      </c>
      <c r="K81" t="s">
        <v>192</v>
      </c>
    </row>
    <row r="82" spans="1:11" x14ac:dyDescent="0.35">
      <c r="A82" s="26">
        <v>781250</v>
      </c>
      <c r="B82" s="27">
        <v>2870193</v>
      </c>
      <c r="C82" t="s">
        <v>191</v>
      </c>
      <c r="D82" t="s">
        <v>135</v>
      </c>
      <c r="E82" t="s">
        <v>188</v>
      </c>
      <c r="F82" s="26">
        <v>14218</v>
      </c>
      <c r="G82" t="s">
        <v>137</v>
      </c>
      <c r="H82" s="26">
        <v>887.01</v>
      </c>
      <c r="I82" s="27">
        <v>1.1020099999999999</v>
      </c>
      <c r="J82" t="s">
        <v>65</v>
      </c>
      <c r="K82" t="s">
        <v>161</v>
      </c>
    </row>
    <row r="83" spans="1:11" x14ac:dyDescent="0.35">
      <c r="A83" s="26">
        <v>781247</v>
      </c>
      <c r="B83" s="27">
        <v>2870323</v>
      </c>
      <c r="C83" t="s">
        <v>191</v>
      </c>
      <c r="D83" t="s">
        <v>135</v>
      </c>
      <c r="E83" t="s">
        <v>188</v>
      </c>
      <c r="F83" s="26">
        <v>14285</v>
      </c>
      <c r="G83" t="s">
        <v>416</v>
      </c>
      <c r="H83" s="26">
        <v>643.5</v>
      </c>
      <c r="I83" s="27">
        <v>1.0460199999999999</v>
      </c>
      <c r="J83" t="s">
        <v>65</v>
      </c>
      <c r="K83" t="s">
        <v>66</v>
      </c>
    </row>
    <row r="84" spans="1:11" x14ac:dyDescent="0.35">
      <c r="A84" s="26">
        <v>781215</v>
      </c>
      <c r="B84" s="27">
        <v>2870419</v>
      </c>
      <c r="C84" t="s">
        <v>191</v>
      </c>
      <c r="D84" t="s">
        <v>135</v>
      </c>
      <c r="E84" t="s">
        <v>188</v>
      </c>
      <c r="F84" s="26">
        <v>14275</v>
      </c>
      <c r="G84" t="s">
        <v>83</v>
      </c>
      <c r="H84" s="26">
        <v>643.5</v>
      </c>
      <c r="I84" s="27">
        <v>1.02501</v>
      </c>
      <c r="J84" t="s">
        <v>65</v>
      </c>
      <c r="K84" t="s">
        <v>193</v>
      </c>
    </row>
    <row r="85" spans="1:11" x14ac:dyDescent="0.35">
      <c r="A85" s="26">
        <v>790931</v>
      </c>
      <c r="B85" s="27">
        <v>2891487</v>
      </c>
      <c r="C85" t="s">
        <v>73</v>
      </c>
      <c r="D85" t="s">
        <v>124</v>
      </c>
      <c r="E85" t="s">
        <v>194</v>
      </c>
      <c r="F85" s="26">
        <v>2529</v>
      </c>
      <c r="G85" t="s">
        <v>68</v>
      </c>
      <c r="H85" s="26">
        <v>1279.45</v>
      </c>
      <c r="I85" s="27">
        <v>1.01101</v>
      </c>
      <c r="J85" t="s">
        <v>65</v>
      </c>
      <c r="K85" t="s">
        <v>1382</v>
      </c>
    </row>
    <row r="86" spans="1:11" x14ac:dyDescent="0.35">
      <c r="A86" s="26">
        <v>790929</v>
      </c>
      <c r="B86" s="27">
        <v>2891486</v>
      </c>
      <c r="C86" t="s">
        <v>73</v>
      </c>
      <c r="D86" t="s">
        <v>124</v>
      </c>
      <c r="E86" t="s">
        <v>194</v>
      </c>
      <c r="F86" s="26">
        <v>2530</v>
      </c>
      <c r="G86" t="s">
        <v>68</v>
      </c>
      <c r="H86" s="26">
        <v>660</v>
      </c>
      <c r="I86" s="27">
        <v>1.03301</v>
      </c>
      <c r="J86" t="s">
        <v>65</v>
      </c>
      <c r="K86" t="s">
        <v>1342</v>
      </c>
    </row>
    <row r="87" spans="1:11" x14ac:dyDescent="0.35">
      <c r="A87" s="26">
        <v>787459</v>
      </c>
      <c r="B87" s="27">
        <v>2885241</v>
      </c>
      <c r="C87" t="s">
        <v>1383</v>
      </c>
      <c r="D87" t="s">
        <v>78</v>
      </c>
      <c r="E87" t="s">
        <v>194</v>
      </c>
      <c r="F87" s="26">
        <v>91229</v>
      </c>
      <c r="G87" t="s">
        <v>79</v>
      </c>
      <c r="H87" s="26">
        <v>5000</v>
      </c>
      <c r="I87" s="27">
        <v>1.0320100000000001</v>
      </c>
      <c r="J87" t="s">
        <v>65</v>
      </c>
      <c r="K87" t="s">
        <v>260</v>
      </c>
    </row>
    <row r="88" spans="1:11" x14ac:dyDescent="0.35">
      <c r="A88" s="26">
        <v>784420</v>
      </c>
      <c r="B88" s="27">
        <v>2877533</v>
      </c>
      <c r="C88" t="s">
        <v>183</v>
      </c>
      <c r="D88" t="s">
        <v>129</v>
      </c>
      <c r="E88" t="s">
        <v>194</v>
      </c>
      <c r="F88" s="26">
        <v>1121323</v>
      </c>
      <c r="G88" t="s">
        <v>201</v>
      </c>
      <c r="H88" s="26">
        <v>4010</v>
      </c>
      <c r="I88" s="27">
        <v>1.0100100000000001</v>
      </c>
      <c r="J88" t="s">
        <v>65</v>
      </c>
      <c r="K88" t="s">
        <v>69</v>
      </c>
    </row>
    <row r="89" spans="1:11" x14ac:dyDescent="0.35">
      <c r="A89" s="26">
        <v>784417</v>
      </c>
      <c r="B89" s="27">
        <v>2877722</v>
      </c>
      <c r="C89" t="s">
        <v>183</v>
      </c>
      <c r="D89" t="s">
        <v>129</v>
      </c>
      <c r="E89" t="s">
        <v>194</v>
      </c>
      <c r="F89" s="26">
        <v>1121326</v>
      </c>
      <c r="G89" t="s">
        <v>201</v>
      </c>
      <c r="H89" s="26">
        <v>4000</v>
      </c>
      <c r="I89" s="27">
        <v>1.0100100000000001</v>
      </c>
      <c r="J89" t="s">
        <v>65</v>
      </c>
      <c r="K89" t="s">
        <v>69</v>
      </c>
    </row>
    <row r="90" spans="1:11" x14ac:dyDescent="0.35">
      <c r="A90" s="26">
        <v>784414</v>
      </c>
      <c r="B90" s="27">
        <v>2877387</v>
      </c>
      <c r="C90" t="s">
        <v>183</v>
      </c>
      <c r="D90" t="s">
        <v>129</v>
      </c>
      <c r="E90" t="s">
        <v>194</v>
      </c>
      <c r="F90" s="26">
        <v>1121325</v>
      </c>
      <c r="G90" t="s">
        <v>201</v>
      </c>
      <c r="H90" s="26">
        <v>4010</v>
      </c>
      <c r="I90" s="27">
        <v>1.0100100000000001</v>
      </c>
      <c r="J90" t="s">
        <v>65</v>
      </c>
      <c r="K90" t="s">
        <v>69</v>
      </c>
    </row>
    <row r="91" spans="1:11" x14ac:dyDescent="0.35">
      <c r="A91" s="26">
        <v>784413</v>
      </c>
      <c r="B91" s="27">
        <v>2877386</v>
      </c>
      <c r="C91" t="s">
        <v>183</v>
      </c>
      <c r="D91" t="s">
        <v>129</v>
      </c>
      <c r="E91" t="s">
        <v>194</v>
      </c>
      <c r="F91" s="26">
        <v>1121328</v>
      </c>
      <c r="G91" t="s">
        <v>201</v>
      </c>
      <c r="H91" s="26">
        <v>4000</v>
      </c>
      <c r="I91" s="27">
        <v>1.0100100000000001</v>
      </c>
      <c r="J91" t="s">
        <v>65</v>
      </c>
      <c r="K91" t="s">
        <v>69</v>
      </c>
    </row>
    <row r="92" spans="1:11" x14ac:dyDescent="0.35">
      <c r="A92" s="26">
        <v>789233</v>
      </c>
      <c r="B92" s="27">
        <v>2889469</v>
      </c>
      <c r="C92" t="s">
        <v>581</v>
      </c>
      <c r="D92" t="s">
        <v>124</v>
      </c>
      <c r="E92" t="s">
        <v>122</v>
      </c>
      <c r="F92" s="26">
        <v>898</v>
      </c>
      <c r="G92" t="s">
        <v>79</v>
      </c>
      <c r="H92" s="26">
        <v>2000</v>
      </c>
      <c r="I92" s="27">
        <v>1.0920300000000001</v>
      </c>
      <c r="J92" t="s">
        <v>65</v>
      </c>
      <c r="K92" t="s">
        <v>164</v>
      </c>
    </row>
    <row r="93" spans="1:11" x14ac:dyDescent="0.35">
      <c r="A93" s="26">
        <v>789222</v>
      </c>
      <c r="B93" s="27">
        <v>2889449</v>
      </c>
      <c r="C93" t="s">
        <v>581</v>
      </c>
      <c r="D93" t="s">
        <v>124</v>
      </c>
      <c r="E93" t="s">
        <v>122</v>
      </c>
      <c r="F93" s="26">
        <v>897</v>
      </c>
      <c r="G93" t="s">
        <v>416</v>
      </c>
      <c r="H93" s="26">
        <v>1400</v>
      </c>
      <c r="I93" s="27">
        <v>1.1000099999999999</v>
      </c>
      <c r="J93" t="s">
        <v>65</v>
      </c>
      <c r="K93" t="s">
        <v>217</v>
      </c>
    </row>
    <row r="94" spans="1:11" x14ac:dyDescent="0.35">
      <c r="A94" s="26">
        <v>789220</v>
      </c>
      <c r="B94" s="27">
        <v>2889431</v>
      </c>
      <c r="C94" t="s">
        <v>581</v>
      </c>
      <c r="D94" t="s">
        <v>124</v>
      </c>
      <c r="E94" t="s">
        <v>122</v>
      </c>
      <c r="F94" s="26">
        <v>896</v>
      </c>
      <c r="G94" t="s">
        <v>79</v>
      </c>
      <c r="H94" s="26">
        <v>1300</v>
      </c>
      <c r="I94" s="27">
        <v>1.09701</v>
      </c>
      <c r="J94" t="s">
        <v>65</v>
      </c>
      <c r="K94" t="s">
        <v>417</v>
      </c>
    </row>
    <row r="95" spans="1:11" x14ac:dyDescent="0.35">
      <c r="A95" s="26">
        <v>787416</v>
      </c>
      <c r="B95" s="27">
        <v>2884449</v>
      </c>
      <c r="C95" t="s">
        <v>1384</v>
      </c>
      <c r="D95" t="s">
        <v>116</v>
      </c>
      <c r="E95" t="s">
        <v>67</v>
      </c>
      <c r="F95" s="26">
        <v>186</v>
      </c>
      <c r="G95" t="s">
        <v>79</v>
      </c>
      <c r="H95" s="26">
        <v>2312</v>
      </c>
      <c r="I95" s="27">
        <v>1.0740099999999999</v>
      </c>
      <c r="J95" t="s">
        <v>65</v>
      </c>
      <c r="K95" t="s">
        <v>105</v>
      </c>
    </row>
    <row r="96" spans="1:11" x14ac:dyDescent="0.35">
      <c r="A96" s="26">
        <v>786175</v>
      </c>
      <c r="B96" s="27">
        <v>2882751</v>
      </c>
      <c r="C96" t="s">
        <v>1385</v>
      </c>
      <c r="D96" t="s">
        <v>116</v>
      </c>
      <c r="E96" t="s">
        <v>122</v>
      </c>
      <c r="F96" s="26">
        <v>373</v>
      </c>
      <c r="G96" t="s">
        <v>79</v>
      </c>
      <c r="H96" s="26">
        <v>4971</v>
      </c>
      <c r="I96" s="27">
        <v>1.02901</v>
      </c>
      <c r="J96" t="s">
        <v>65</v>
      </c>
      <c r="K96" t="s">
        <v>119</v>
      </c>
    </row>
    <row r="97" spans="1:11" x14ac:dyDescent="0.35">
      <c r="A97" s="26">
        <v>785950</v>
      </c>
      <c r="B97" s="27">
        <v>2881348</v>
      </c>
      <c r="C97" t="s">
        <v>1386</v>
      </c>
      <c r="D97" t="s">
        <v>116</v>
      </c>
      <c r="E97" t="s">
        <v>122</v>
      </c>
      <c r="F97" s="26">
        <v>3</v>
      </c>
      <c r="G97" t="s">
        <v>79</v>
      </c>
      <c r="H97" s="26">
        <v>700</v>
      </c>
      <c r="I97" s="27">
        <v>1.0740099999999999</v>
      </c>
      <c r="J97" t="s">
        <v>65</v>
      </c>
      <c r="K97" t="s">
        <v>105</v>
      </c>
    </row>
    <row r="98" spans="1:11" x14ac:dyDescent="0.35">
      <c r="A98" s="26">
        <v>785750</v>
      </c>
      <c r="B98" s="27">
        <v>2890977</v>
      </c>
      <c r="C98" t="s">
        <v>584</v>
      </c>
      <c r="D98" t="s">
        <v>129</v>
      </c>
      <c r="E98" t="s">
        <v>122</v>
      </c>
      <c r="F98" s="26">
        <v>37556</v>
      </c>
      <c r="G98" t="s">
        <v>83</v>
      </c>
      <c r="H98" s="26">
        <v>462</v>
      </c>
      <c r="I98" s="27">
        <v>1.0740099999999999</v>
      </c>
      <c r="J98" t="s">
        <v>76</v>
      </c>
      <c r="K98" t="s">
        <v>105</v>
      </c>
    </row>
    <row r="99" spans="1:11" x14ac:dyDescent="0.35">
      <c r="A99" s="26">
        <v>784409</v>
      </c>
      <c r="B99" s="27">
        <v>2877374</v>
      </c>
      <c r="C99" t="s">
        <v>200</v>
      </c>
      <c r="D99" t="s">
        <v>129</v>
      </c>
      <c r="E99" t="s">
        <v>122</v>
      </c>
      <c r="F99" s="26">
        <v>130</v>
      </c>
      <c r="G99" t="s">
        <v>201</v>
      </c>
      <c r="H99" s="26">
        <v>786</v>
      </c>
      <c r="I99" s="27">
        <v>1.0740099999999999</v>
      </c>
      <c r="J99" t="s">
        <v>65</v>
      </c>
      <c r="K99" t="s">
        <v>105</v>
      </c>
    </row>
    <row r="100" spans="1:11" x14ac:dyDescent="0.35">
      <c r="A100" s="26">
        <v>783180</v>
      </c>
      <c r="B100" s="27">
        <v>2876149</v>
      </c>
      <c r="C100" t="s">
        <v>1387</v>
      </c>
      <c r="D100" t="s">
        <v>139</v>
      </c>
      <c r="E100" t="s">
        <v>122</v>
      </c>
      <c r="F100" s="26">
        <v>17858</v>
      </c>
      <c r="G100" t="s">
        <v>79</v>
      </c>
      <c r="H100" s="26">
        <v>4455</v>
      </c>
      <c r="I100" s="27">
        <v>1.02901</v>
      </c>
      <c r="J100" t="s">
        <v>76</v>
      </c>
      <c r="K100" t="s">
        <v>119</v>
      </c>
    </row>
    <row r="101" spans="1:11" x14ac:dyDescent="0.35">
      <c r="A101" s="26">
        <v>781710</v>
      </c>
      <c r="B101" s="27">
        <v>2872352</v>
      </c>
      <c r="C101" t="s">
        <v>1388</v>
      </c>
      <c r="D101" t="s">
        <v>135</v>
      </c>
      <c r="E101" t="s">
        <v>122</v>
      </c>
      <c r="F101" s="26">
        <v>66354</v>
      </c>
      <c r="G101" t="s">
        <v>1339</v>
      </c>
      <c r="H101" s="26">
        <v>470</v>
      </c>
      <c r="I101" s="27">
        <v>1.08101</v>
      </c>
      <c r="J101" t="s">
        <v>65</v>
      </c>
      <c r="K101" t="s">
        <v>172</v>
      </c>
    </row>
    <row r="102" spans="1:11" x14ac:dyDescent="0.35">
      <c r="A102" s="26">
        <v>780989</v>
      </c>
      <c r="B102" s="27">
        <v>2869597</v>
      </c>
      <c r="C102" t="s">
        <v>432</v>
      </c>
      <c r="D102" t="s">
        <v>135</v>
      </c>
      <c r="E102" t="s">
        <v>122</v>
      </c>
      <c r="F102" s="26">
        <v>202477</v>
      </c>
      <c r="G102" t="s">
        <v>416</v>
      </c>
      <c r="H102" s="26">
        <v>2774.26</v>
      </c>
      <c r="I102" s="27">
        <v>1.06501</v>
      </c>
      <c r="J102" t="s">
        <v>65</v>
      </c>
      <c r="K102" t="s">
        <v>145</v>
      </c>
    </row>
    <row r="103" spans="1:11" x14ac:dyDescent="0.35">
      <c r="A103" s="26">
        <v>789141</v>
      </c>
      <c r="B103" s="27">
        <v>2889045</v>
      </c>
      <c r="C103" t="s">
        <v>1389</v>
      </c>
      <c r="D103" t="s">
        <v>111</v>
      </c>
      <c r="E103" t="s">
        <v>117</v>
      </c>
      <c r="F103" s="26">
        <v>6870</v>
      </c>
      <c r="G103" t="s">
        <v>68</v>
      </c>
      <c r="H103" s="26">
        <v>4912.47</v>
      </c>
      <c r="I103" s="27">
        <v>1.01101</v>
      </c>
      <c r="J103" t="s">
        <v>65</v>
      </c>
      <c r="K103" t="s">
        <v>1382</v>
      </c>
    </row>
    <row r="104" spans="1:11" x14ac:dyDescent="0.35">
      <c r="A104" s="26">
        <v>787908</v>
      </c>
      <c r="B104" s="27">
        <v>2886685</v>
      </c>
      <c r="C104" t="s">
        <v>1390</v>
      </c>
      <c r="D104" t="s">
        <v>78</v>
      </c>
      <c r="E104" t="s">
        <v>117</v>
      </c>
      <c r="F104" s="26">
        <v>112</v>
      </c>
      <c r="G104" t="s">
        <v>79</v>
      </c>
      <c r="H104" s="26">
        <v>510</v>
      </c>
      <c r="I104" s="27">
        <v>1.02901</v>
      </c>
      <c r="J104" t="s">
        <v>76</v>
      </c>
      <c r="K104" t="s">
        <v>119</v>
      </c>
    </row>
    <row r="105" spans="1:11" x14ac:dyDescent="0.35">
      <c r="A105" s="26">
        <v>786397</v>
      </c>
      <c r="B105" s="27">
        <v>2882810</v>
      </c>
      <c r="C105" t="s">
        <v>1391</v>
      </c>
      <c r="D105" t="s">
        <v>116</v>
      </c>
      <c r="E105" t="s">
        <v>117</v>
      </c>
      <c r="F105" s="26">
        <v>202454</v>
      </c>
      <c r="G105" t="s">
        <v>68</v>
      </c>
      <c r="H105" s="26">
        <v>1080</v>
      </c>
      <c r="I105" s="27">
        <v>1.02701</v>
      </c>
      <c r="J105" t="s">
        <v>65</v>
      </c>
      <c r="K105" t="s">
        <v>179</v>
      </c>
    </row>
    <row r="106" spans="1:11" x14ac:dyDescent="0.35">
      <c r="A106" s="26">
        <v>786002</v>
      </c>
      <c r="B106" s="27">
        <v>2881629</v>
      </c>
      <c r="C106" t="s">
        <v>1392</v>
      </c>
      <c r="D106" t="s">
        <v>116</v>
      </c>
      <c r="E106" t="s">
        <v>117</v>
      </c>
      <c r="F106" s="26">
        <v>13094</v>
      </c>
      <c r="G106" t="s">
        <v>79</v>
      </c>
      <c r="H106" s="26">
        <v>883</v>
      </c>
      <c r="I106" s="27">
        <v>1.0740099999999999</v>
      </c>
      <c r="J106" t="s">
        <v>76</v>
      </c>
      <c r="K106" t="s">
        <v>105</v>
      </c>
    </row>
    <row r="107" spans="1:11" x14ac:dyDescent="0.35">
      <c r="A107" s="26">
        <v>792162</v>
      </c>
      <c r="B107" s="27">
        <v>2892837</v>
      </c>
      <c r="C107" t="s">
        <v>1393</v>
      </c>
      <c r="D107" t="s">
        <v>74</v>
      </c>
      <c r="E107" t="s">
        <v>115</v>
      </c>
      <c r="F107" s="26">
        <v>1615</v>
      </c>
      <c r="G107" t="s">
        <v>79</v>
      </c>
      <c r="H107" s="26">
        <v>279</v>
      </c>
      <c r="I107" s="27">
        <v>1.0860799999999999</v>
      </c>
      <c r="J107" t="s">
        <v>76</v>
      </c>
      <c r="K107" t="s">
        <v>151</v>
      </c>
    </row>
    <row r="108" spans="1:11" x14ac:dyDescent="0.35">
      <c r="A108" s="26">
        <v>792161</v>
      </c>
      <c r="B108" s="27">
        <v>2892858</v>
      </c>
      <c r="C108" t="s">
        <v>1393</v>
      </c>
      <c r="D108" t="s">
        <v>74</v>
      </c>
      <c r="E108" t="s">
        <v>115</v>
      </c>
      <c r="F108" s="26">
        <v>1614</v>
      </c>
      <c r="G108" t="s">
        <v>79</v>
      </c>
      <c r="H108" s="26">
        <v>594.5</v>
      </c>
      <c r="I108" s="27">
        <v>1.0860099999999999</v>
      </c>
      <c r="J108" t="s">
        <v>76</v>
      </c>
      <c r="K108" t="s">
        <v>151</v>
      </c>
    </row>
    <row r="109" spans="1:11" x14ac:dyDescent="0.35">
      <c r="A109" s="26">
        <v>791717</v>
      </c>
      <c r="B109" s="27">
        <v>2892819</v>
      </c>
      <c r="C109" t="s">
        <v>1393</v>
      </c>
      <c r="D109" t="s">
        <v>74</v>
      </c>
      <c r="E109" t="s">
        <v>115</v>
      </c>
      <c r="F109" s="26">
        <v>1613</v>
      </c>
      <c r="G109" t="s">
        <v>79</v>
      </c>
      <c r="H109" s="26">
        <v>664</v>
      </c>
      <c r="I109" s="27">
        <v>1.0490200000000001</v>
      </c>
      <c r="J109" t="s">
        <v>76</v>
      </c>
      <c r="K109" t="s">
        <v>166</v>
      </c>
    </row>
    <row r="110" spans="1:11" x14ac:dyDescent="0.35">
      <c r="A110" s="26">
        <v>787419</v>
      </c>
      <c r="B110" s="27">
        <v>2884488</v>
      </c>
      <c r="C110" t="s">
        <v>191</v>
      </c>
      <c r="D110" t="s">
        <v>78</v>
      </c>
      <c r="E110" t="s">
        <v>115</v>
      </c>
      <c r="F110" s="26">
        <v>14370</v>
      </c>
      <c r="G110" t="s">
        <v>68</v>
      </c>
      <c r="H110" s="26">
        <v>10426.9</v>
      </c>
      <c r="I110" s="27">
        <v>1.02901</v>
      </c>
      <c r="J110" t="s">
        <v>65</v>
      </c>
      <c r="K110" t="s">
        <v>119</v>
      </c>
    </row>
    <row r="111" spans="1:11" x14ac:dyDescent="0.35">
      <c r="A111" s="26">
        <v>781984</v>
      </c>
      <c r="B111" s="27">
        <v>2873147</v>
      </c>
      <c r="C111" t="s">
        <v>1394</v>
      </c>
      <c r="D111" t="s">
        <v>135</v>
      </c>
      <c r="E111" t="s">
        <v>115</v>
      </c>
      <c r="F111" s="26">
        <v>466804</v>
      </c>
      <c r="G111" t="s">
        <v>68</v>
      </c>
      <c r="H111" s="26">
        <v>27106.1</v>
      </c>
      <c r="I111" s="27">
        <v>1.02901</v>
      </c>
      <c r="J111" t="s">
        <v>76</v>
      </c>
      <c r="K111" t="s">
        <v>119</v>
      </c>
    </row>
    <row r="112" spans="1:11" x14ac:dyDescent="0.35">
      <c r="A112" s="26">
        <v>781876</v>
      </c>
      <c r="B112" s="27">
        <v>2872990</v>
      </c>
      <c r="C112" t="s">
        <v>1395</v>
      </c>
      <c r="D112" t="s">
        <v>135</v>
      </c>
      <c r="E112" t="s">
        <v>115</v>
      </c>
      <c r="F112" s="26">
        <v>22940</v>
      </c>
      <c r="G112" t="s">
        <v>1339</v>
      </c>
      <c r="H112" s="26">
        <v>127.83</v>
      </c>
      <c r="I112" s="27">
        <v>1.0011000000000001</v>
      </c>
      <c r="J112" t="s">
        <v>65</v>
      </c>
      <c r="K112" t="s">
        <v>1396</v>
      </c>
    </row>
    <row r="113" spans="1:11" x14ac:dyDescent="0.35">
      <c r="A113" s="26">
        <v>792764</v>
      </c>
      <c r="B113" s="27">
        <v>2894294</v>
      </c>
      <c r="C113" t="s">
        <v>142</v>
      </c>
      <c r="D113" t="s">
        <v>74</v>
      </c>
      <c r="E113" t="s">
        <v>173</v>
      </c>
      <c r="F113" s="26">
        <v>2024434</v>
      </c>
      <c r="G113" t="s">
        <v>68</v>
      </c>
      <c r="H113" s="26">
        <v>1872</v>
      </c>
      <c r="I113" s="27">
        <v>1.0540099999999999</v>
      </c>
      <c r="J113" t="s">
        <v>65</v>
      </c>
      <c r="K113" t="s">
        <v>121</v>
      </c>
    </row>
    <row r="114" spans="1:11" x14ac:dyDescent="0.35">
      <c r="A114" s="26">
        <v>791192</v>
      </c>
      <c r="B114" s="27">
        <v>2892785</v>
      </c>
      <c r="C114" t="s">
        <v>568</v>
      </c>
      <c r="D114" t="s">
        <v>74</v>
      </c>
      <c r="E114" t="s">
        <v>173</v>
      </c>
      <c r="F114" s="26">
        <v>1709</v>
      </c>
      <c r="G114" t="s">
        <v>68</v>
      </c>
      <c r="H114" s="26">
        <v>236.39</v>
      </c>
      <c r="I114" s="27">
        <v>1.0100100000000001</v>
      </c>
      <c r="J114" t="s">
        <v>76</v>
      </c>
      <c r="K114" t="s">
        <v>69</v>
      </c>
    </row>
    <row r="115" spans="1:11" x14ac:dyDescent="0.35">
      <c r="A115" s="26">
        <v>791177</v>
      </c>
      <c r="B115" s="27">
        <v>2892793</v>
      </c>
      <c r="C115" t="s">
        <v>568</v>
      </c>
      <c r="D115" t="s">
        <v>74</v>
      </c>
      <c r="E115" t="s">
        <v>173</v>
      </c>
      <c r="F115" s="26">
        <v>1710</v>
      </c>
      <c r="G115" t="s">
        <v>68</v>
      </c>
      <c r="H115" s="26">
        <v>666</v>
      </c>
      <c r="I115" s="27">
        <v>1.0100100000000001</v>
      </c>
      <c r="J115" t="s">
        <v>76</v>
      </c>
      <c r="K115" t="s">
        <v>69</v>
      </c>
    </row>
    <row r="116" spans="1:11" x14ac:dyDescent="0.35">
      <c r="A116" s="26">
        <v>790897</v>
      </c>
      <c r="B116" s="27">
        <v>2890996</v>
      </c>
      <c r="C116" t="s">
        <v>205</v>
      </c>
      <c r="D116" t="s">
        <v>74</v>
      </c>
      <c r="E116" t="s">
        <v>173</v>
      </c>
      <c r="F116" s="26">
        <v>20241324</v>
      </c>
      <c r="G116" t="s">
        <v>68</v>
      </c>
      <c r="H116" s="26">
        <v>1100</v>
      </c>
      <c r="I116" s="27">
        <v>1.1020099999999999</v>
      </c>
      <c r="J116" t="s">
        <v>65</v>
      </c>
      <c r="K116" t="s">
        <v>161</v>
      </c>
    </row>
    <row r="117" spans="1:11" x14ac:dyDescent="0.35">
      <c r="A117" s="26">
        <v>789621</v>
      </c>
      <c r="B117" s="27">
        <v>2890143</v>
      </c>
      <c r="C117" t="s">
        <v>426</v>
      </c>
      <c r="D117" t="s">
        <v>124</v>
      </c>
      <c r="E117" t="s">
        <v>173</v>
      </c>
      <c r="F117" s="26">
        <v>1060700</v>
      </c>
      <c r="G117" t="s">
        <v>68</v>
      </c>
      <c r="H117" s="26">
        <v>3192</v>
      </c>
      <c r="I117" s="27">
        <v>1.0100100000000001</v>
      </c>
      <c r="J117" t="s">
        <v>76</v>
      </c>
      <c r="K117" t="s">
        <v>69</v>
      </c>
    </row>
    <row r="118" spans="1:11" x14ac:dyDescent="0.35">
      <c r="A118" s="26">
        <v>789269</v>
      </c>
      <c r="B118" s="27">
        <v>2889817</v>
      </c>
      <c r="C118" t="s">
        <v>197</v>
      </c>
      <c r="D118" t="s">
        <v>124</v>
      </c>
      <c r="E118" t="s">
        <v>173</v>
      </c>
      <c r="F118" s="26">
        <v>30892</v>
      </c>
      <c r="G118" t="s">
        <v>68</v>
      </c>
      <c r="H118" s="26">
        <v>1581.92</v>
      </c>
      <c r="I118" s="27">
        <v>1.0100100000000001</v>
      </c>
      <c r="J118" t="s">
        <v>65</v>
      </c>
      <c r="K118" t="s">
        <v>69</v>
      </c>
    </row>
    <row r="119" spans="1:11" x14ac:dyDescent="0.35">
      <c r="A119" s="26">
        <v>789193</v>
      </c>
      <c r="B119" s="27">
        <v>2889271</v>
      </c>
      <c r="C119" t="s">
        <v>1397</v>
      </c>
      <c r="D119" t="s">
        <v>135</v>
      </c>
      <c r="E119" t="s">
        <v>173</v>
      </c>
      <c r="F119" s="26">
        <v>24262</v>
      </c>
      <c r="G119" t="s">
        <v>1339</v>
      </c>
      <c r="H119" s="26">
        <v>227.5</v>
      </c>
      <c r="I119" s="27">
        <v>1.1020099999999999</v>
      </c>
      <c r="J119" t="s">
        <v>65</v>
      </c>
      <c r="K119" t="s">
        <v>161</v>
      </c>
    </row>
    <row r="120" spans="1:11" x14ac:dyDescent="0.35">
      <c r="A120" s="26">
        <v>789012</v>
      </c>
      <c r="B120" s="27">
        <v>2888442</v>
      </c>
      <c r="C120" t="s">
        <v>1398</v>
      </c>
      <c r="D120" t="s">
        <v>124</v>
      </c>
      <c r="E120" t="s">
        <v>173</v>
      </c>
      <c r="F120" s="26">
        <v>202413</v>
      </c>
      <c r="G120" t="s">
        <v>79</v>
      </c>
      <c r="H120" s="26">
        <v>1198.55</v>
      </c>
      <c r="I120" s="27">
        <v>1.0740099999999999</v>
      </c>
      <c r="J120" t="s">
        <v>65</v>
      </c>
      <c r="K120" t="s">
        <v>105</v>
      </c>
    </row>
    <row r="121" spans="1:11" x14ac:dyDescent="0.35">
      <c r="A121" s="26">
        <v>789005</v>
      </c>
      <c r="B121" s="27">
        <v>2888336</v>
      </c>
      <c r="C121" t="s">
        <v>1378</v>
      </c>
      <c r="D121" t="s">
        <v>129</v>
      </c>
      <c r="E121" t="s">
        <v>173</v>
      </c>
      <c r="F121" s="26">
        <v>2024675</v>
      </c>
      <c r="G121" t="s">
        <v>68</v>
      </c>
      <c r="H121" s="26">
        <v>300</v>
      </c>
      <c r="I121" s="27">
        <v>1.02901</v>
      </c>
      <c r="J121" t="s">
        <v>65</v>
      </c>
      <c r="K121" t="s">
        <v>119</v>
      </c>
    </row>
    <row r="122" spans="1:11" x14ac:dyDescent="0.35">
      <c r="A122" s="26">
        <v>786114</v>
      </c>
      <c r="B122" s="27">
        <v>2882401</v>
      </c>
      <c r="C122" t="s">
        <v>1399</v>
      </c>
      <c r="D122" t="s">
        <v>135</v>
      </c>
      <c r="E122" t="s">
        <v>173</v>
      </c>
      <c r="F122" s="26">
        <v>1888</v>
      </c>
      <c r="G122" t="s">
        <v>68</v>
      </c>
      <c r="H122" s="26">
        <v>5400</v>
      </c>
      <c r="I122" s="27">
        <v>1.0300100000000001</v>
      </c>
      <c r="J122" t="s">
        <v>65</v>
      </c>
      <c r="K122" t="s">
        <v>156</v>
      </c>
    </row>
    <row r="123" spans="1:11" x14ac:dyDescent="0.35">
      <c r="A123" s="26">
        <v>785997</v>
      </c>
      <c r="B123" s="27">
        <v>2881482</v>
      </c>
      <c r="C123" t="s">
        <v>472</v>
      </c>
      <c r="D123" t="s">
        <v>116</v>
      </c>
      <c r="E123" t="s">
        <v>173</v>
      </c>
      <c r="F123" s="26">
        <v>4838</v>
      </c>
      <c r="G123" t="s">
        <v>68</v>
      </c>
      <c r="H123" s="26">
        <v>1500</v>
      </c>
      <c r="I123" s="27">
        <v>1.09701</v>
      </c>
      <c r="J123" t="s">
        <v>65</v>
      </c>
      <c r="K123" t="s">
        <v>417</v>
      </c>
    </row>
    <row r="124" spans="1:11" x14ac:dyDescent="0.35">
      <c r="A124" s="26">
        <v>784641</v>
      </c>
      <c r="B124" s="27">
        <v>2879104</v>
      </c>
      <c r="C124" t="s">
        <v>1400</v>
      </c>
      <c r="D124" t="s">
        <v>129</v>
      </c>
      <c r="E124" t="s">
        <v>173</v>
      </c>
      <c r="F124" s="26">
        <v>5117</v>
      </c>
      <c r="G124" t="s">
        <v>68</v>
      </c>
      <c r="H124" s="26">
        <v>992.1</v>
      </c>
      <c r="I124" s="27">
        <v>1.0100100000000001</v>
      </c>
      <c r="J124" t="s">
        <v>65</v>
      </c>
      <c r="K124" t="s">
        <v>69</v>
      </c>
    </row>
    <row r="125" spans="1:11" x14ac:dyDescent="0.35">
      <c r="A125" s="26">
        <v>783171</v>
      </c>
      <c r="B125" s="27">
        <v>2876285</v>
      </c>
      <c r="C125" t="s">
        <v>1401</v>
      </c>
      <c r="D125" t="s">
        <v>139</v>
      </c>
      <c r="E125" t="s">
        <v>173</v>
      </c>
      <c r="F125" s="26">
        <v>3540</v>
      </c>
      <c r="G125" t="s">
        <v>79</v>
      </c>
      <c r="H125" s="26">
        <v>1280</v>
      </c>
      <c r="I125" s="27">
        <v>1.02901</v>
      </c>
      <c r="J125" t="s">
        <v>65</v>
      </c>
      <c r="K125" t="s">
        <v>119</v>
      </c>
    </row>
    <row r="126" spans="1:11" x14ac:dyDescent="0.35">
      <c r="A126" s="26">
        <v>782760</v>
      </c>
      <c r="B126" s="27">
        <v>2874842</v>
      </c>
      <c r="C126" t="s">
        <v>1402</v>
      </c>
      <c r="D126" t="s">
        <v>135</v>
      </c>
      <c r="E126" t="s">
        <v>173</v>
      </c>
      <c r="F126" s="26">
        <v>20241444</v>
      </c>
      <c r="G126" t="s">
        <v>83</v>
      </c>
      <c r="H126" s="26">
        <v>156.80000000000001</v>
      </c>
      <c r="I126" s="27">
        <v>1.0170399999999999</v>
      </c>
      <c r="J126" t="s">
        <v>65</v>
      </c>
      <c r="K126" t="s">
        <v>190</v>
      </c>
    </row>
    <row r="127" spans="1:11" x14ac:dyDescent="0.35">
      <c r="A127" s="26">
        <v>792738</v>
      </c>
      <c r="B127" s="27">
        <v>2894060</v>
      </c>
      <c r="C127" t="s">
        <v>1385</v>
      </c>
      <c r="D127" t="s">
        <v>127</v>
      </c>
      <c r="E127" t="s">
        <v>541</v>
      </c>
      <c r="F127" s="26">
        <v>374</v>
      </c>
      <c r="G127" t="s">
        <v>79</v>
      </c>
      <c r="H127" s="26">
        <v>4990</v>
      </c>
      <c r="I127" s="27">
        <v>1.02901</v>
      </c>
      <c r="J127" t="s">
        <v>65</v>
      </c>
      <c r="K127" t="s">
        <v>119</v>
      </c>
    </row>
    <row r="128" spans="1:11" x14ac:dyDescent="0.35">
      <c r="A128" s="26">
        <v>792594</v>
      </c>
      <c r="B128" s="27">
        <v>2892986</v>
      </c>
      <c r="C128" t="s">
        <v>1403</v>
      </c>
      <c r="D128" t="s">
        <v>74</v>
      </c>
      <c r="E128" t="s">
        <v>541</v>
      </c>
      <c r="F128" s="26">
        <v>8912</v>
      </c>
      <c r="G128" t="s">
        <v>79</v>
      </c>
      <c r="H128" s="26">
        <v>571.25</v>
      </c>
      <c r="I128" s="27">
        <v>1.0101</v>
      </c>
      <c r="J128" t="s">
        <v>76</v>
      </c>
      <c r="K128" t="s">
        <v>1404</v>
      </c>
    </row>
    <row r="129" spans="1:11" x14ac:dyDescent="0.35">
      <c r="A129" s="26">
        <v>792399</v>
      </c>
      <c r="B129" s="27">
        <v>2892856</v>
      </c>
      <c r="C129" t="s">
        <v>1405</v>
      </c>
      <c r="D129" t="s">
        <v>74</v>
      </c>
      <c r="E129" t="s">
        <v>541</v>
      </c>
      <c r="F129" s="26">
        <v>8470</v>
      </c>
      <c r="G129" t="s">
        <v>79</v>
      </c>
      <c r="H129" s="26">
        <v>450</v>
      </c>
      <c r="I129" s="27">
        <v>1.1020099999999999</v>
      </c>
      <c r="J129" t="s">
        <v>76</v>
      </c>
      <c r="K129" t="s">
        <v>161</v>
      </c>
    </row>
    <row r="130" spans="1:11" x14ac:dyDescent="0.35">
      <c r="A130" s="26">
        <v>790983</v>
      </c>
      <c r="B130" s="27">
        <v>2891698</v>
      </c>
      <c r="C130" t="s">
        <v>1406</v>
      </c>
      <c r="D130" t="s">
        <v>74</v>
      </c>
      <c r="E130" t="s">
        <v>541</v>
      </c>
      <c r="F130" s="26">
        <v>2024743</v>
      </c>
      <c r="G130" t="s">
        <v>79</v>
      </c>
      <c r="H130" s="26">
        <v>200</v>
      </c>
      <c r="I130" s="27">
        <v>1.02701</v>
      </c>
      <c r="J130" t="s">
        <v>65</v>
      </c>
      <c r="K130" t="s">
        <v>179</v>
      </c>
    </row>
    <row r="131" spans="1:11" x14ac:dyDescent="0.35">
      <c r="A131" s="26">
        <v>790978</v>
      </c>
      <c r="B131" s="27">
        <v>2891646</v>
      </c>
      <c r="C131" t="s">
        <v>638</v>
      </c>
      <c r="D131" t="s">
        <v>74</v>
      </c>
      <c r="E131" t="s">
        <v>541</v>
      </c>
      <c r="F131" s="26">
        <v>51190</v>
      </c>
      <c r="G131" t="s">
        <v>68</v>
      </c>
      <c r="H131" s="26">
        <v>409.5</v>
      </c>
      <c r="I131" s="27">
        <v>1.0480100000000001</v>
      </c>
      <c r="J131" t="s">
        <v>65</v>
      </c>
      <c r="K131" t="s">
        <v>75</v>
      </c>
    </row>
    <row r="132" spans="1:11" x14ac:dyDescent="0.35">
      <c r="A132" s="26">
        <v>790920</v>
      </c>
      <c r="B132" s="27">
        <v>2891350</v>
      </c>
      <c r="C132" t="s">
        <v>73</v>
      </c>
      <c r="D132" t="s">
        <v>124</v>
      </c>
      <c r="E132" t="s">
        <v>541</v>
      </c>
      <c r="F132" s="26">
        <v>2533</v>
      </c>
      <c r="G132" t="s">
        <v>68</v>
      </c>
      <c r="H132" s="26">
        <v>24000</v>
      </c>
      <c r="I132" s="27">
        <v>1.0820099999999999</v>
      </c>
      <c r="J132" t="s">
        <v>65</v>
      </c>
      <c r="K132" t="s">
        <v>181</v>
      </c>
    </row>
    <row r="133" spans="1:11" x14ac:dyDescent="0.35">
      <c r="A133" s="26">
        <v>787341</v>
      </c>
      <c r="B133" s="27">
        <v>2883904</v>
      </c>
      <c r="C133" t="s">
        <v>1407</v>
      </c>
      <c r="D133" t="s">
        <v>114</v>
      </c>
      <c r="E133" t="s">
        <v>541</v>
      </c>
      <c r="F133" s="26">
        <v>202488</v>
      </c>
      <c r="G133" t="s">
        <v>79</v>
      </c>
      <c r="H133" s="26">
        <v>2500</v>
      </c>
      <c r="I133" s="27">
        <v>1.0740099999999999</v>
      </c>
      <c r="J133" t="s">
        <v>65</v>
      </c>
      <c r="K133" t="s">
        <v>105</v>
      </c>
    </row>
    <row r="134" spans="1:11" x14ac:dyDescent="0.35">
      <c r="A134" s="26">
        <v>786025</v>
      </c>
      <c r="B134" s="27">
        <v>2881757</v>
      </c>
      <c r="C134" t="s">
        <v>220</v>
      </c>
      <c r="D134" t="s">
        <v>129</v>
      </c>
      <c r="E134" t="s">
        <v>541</v>
      </c>
      <c r="F134" s="26">
        <v>46381</v>
      </c>
      <c r="G134" t="s">
        <v>68</v>
      </c>
      <c r="H134" s="26">
        <v>57688.06</v>
      </c>
      <c r="I134" s="27">
        <v>1.0480100000000001</v>
      </c>
      <c r="J134" t="s">
        <v>65</v>
      </c>
      <c r="K134" t="s">
        <v>75</v>
      </c>
    </row>
    <row r="135" spans="1:11" x14ac:dyDescent="0.35">
      <c r="A135" s="26">
        <v>785923</v>
      </c>
      <c r="B135" s="27">
        <v>2881175</v>
      </c>
      <c r="C135" t="s">
        <v>220</v>
      </c>
      <c r="D135" t="s">
        <v>129</v>
      </c>
      <c r="E135" t="s">
        <v>541</v>
      </c>
      <c r="F135" s="26">
        <v>46384</v>
      </c>
      <c r="G135" t="s">
        <v>68</v>
      </c>
      <c r="H135" s="26">
        <v>23252.799999999999</v>
      </c>
      <c r="I135" s="27">
        <v>1.0820099999999999</v>
      </c>
      <c r="J135" t="s">
        <v>65</v>
      </c>
      <c r="K135" t="s">
        <v>181</v>
      </c>
    </row>
    <row r="136" spans="1:11" x14ac:dyDescent="0.35">
      <c r="A136" s="26">
        <v>789252</v>
      </c>
      <c r="B136" s="27">
        <v>2889491</v>
      </c>
      <c r="C136" t="s">
        <v>1408</v>
      </c>
      <c r="D136" t="s">
        <v>124</v>
      </c>
      <c r="E136" t="s">
        <v>211</v>
      </c>
      <c r="F136" s="26">
        <v>710</v>
      </c>
      <c r="G136" t="s">
        <v>68</v>
      </c>
      <c r="H136" s="26">
        <v>2000</v>
      </c>
      <c r="I136" s="27">
        <v>1.04901</v>
      </c>
      <c r="J136" t="s">
        <v>65</v>
      </c>
      <c r="K136" t="s">
        <v>146</v>
      </c>
    </row>
    <row r="137" spans="1:11" x14ac:dyDescent="0.35">
      <c r="A137" s="26">
        <v>789212</v>
      </c>
      <c r="B137" s="27">
        <v>2889389</v>
      </c>
      <c r="C137" t="s">
        <v>220</v>
      </c>
      <c r="D137" t="s">
        <v>78</v>
      </c>
      <c r="E137" t="s">
        <v>211</v>
      </c>
      <c r="F137" s="26">
        <v>46511</v>
      </c>
      <c r="G137" t="s">
        <v>68</v>
      </c>
      <c r="H137" s="26">
        <v>23555.13</v>
      </c>
      <c r="I137" s="27">
        <v>1.0820099999999999</v>
      </c>
      <c r="J137" t="s">
        <v>65</v>
      </c>
      <c r="K137" t="s">
        <v>181</v>
      </c>
    </row>
    <row r="138" spans="1:11" x14ac:dyDescent="0.35">
      <c r="A138" s="26">
        <v>789156</v>
      </c>
      <c r="B138" s="27">
        <v>2889107</v>
      </c>
      <c r="C138" t="s">
        <v>220</v>
      </c>
      <c r="D138" t="s">
        <v>116</v>
      </c>
      <c r="E138" t="s">
        <v>211</v>
      </c>
      <c r="F138" s="26">
        <v>46464</v>
      </c>
      <c r="G138" t="s">
        <v>68</v>
      </c>
      <c r="H138" s="26">
        <v>2390.39</v>
      </c>
      <c r="I138" s="27">
        <v>1.05701</v>
      </c>
      <c r="J138" t="s">
        <v>65</v>
      </c>
      <c r="K138" t="s">
        <v>203</v>
      </c>
    </row>
    <row r="139" spans="1:11" x14ac:dyDescent="0.35">
      <c r="A139" s="26">
        <v>792683</v>
      </c>
      <c r="B139" s="27">
        <v>2893556</v>
      </c>
      <c r="C139" t="s">
        <v>1409</v>
      </c>
      <c r="D139" t="s">
        <v>127</v>
      </c>
      <c r="E139" t="s">
        <v>213</v>
      </c>
      <c r="F139" s="26">
        <v>5671</v>
      </c>
      <c r="G139" t="s">
        <v>79</v>
      </c>
      <c r="H139" s="26">
        <v>2470</v>
      </c>
      <c r="I139" s="27">
        <v>1.05701</v>
      </c>
      <c r="J139" t="s">
        <v>65</v>
      </c>
      <c r="K139" t="s">
        <v>203</v>
      </c>
    </row>
    <row r="140" spans="1:11" x14ac:dyDescent="0.35">
      <c r="A140" s="26">
        <v>792574</v>
      </c>
      <c r="B140" s="27">
        <v>2892872</v>
      </c>
      <c r="C140" t="s">
        <v>1410</v>
      </c>
      <c r="D140" t="s">
        <v>74</v>
      </c>
      <c r="E140" t="s">
        <v>213</v>
      </c>
      <c r="F140" s="26">
        <v>9548</v>
      </c>
      <c r="G140" t="s">
        <v>79</v>
      </c>
      <c r="H140" s="26">
        <v>3992</v>
      </c>
      <c r="I140" s="27">
        <v>1.0010699999999999</v>
      </c>
      <c r="J140" t="s">
        <v>76</v>
      </c>
      <c r="K140" t="s">
        <v>155</v>
      </c>
    </row>
    <row r="141" spans="1:11" x14ac:dyDescent="0.35">
      <c r="A141" s="26">
        <v>791718</v>
      </c>
      <c r="B141" s="27">
        <v>2892812</v>
      </c>
      <c r="C141" t="s">
        <v>1411</v>
      </c>
      <c r="D141" t="s">
        <v>74</v>
      </c>
      <c r="E141" t="s">
        <v>230</v>
      </c>
      <c r="F141" s="26">
        <v>70847</v>
      </c>
      <c r="G141" t="s">
        <v>79</v>
      </c>
      <c r="H141" s="26">
        <v>490.65</v>
      </c>
      <c r="I141" s="27">
        <v>1.04901</v>
      </c>
      <c r="J141" t="s">
        <v>76</v>
      </c>
      <c r="K141" t="s">
        <v>146</v>
      </c>
    </row>
    <row r="142" spans="1:11" x14ac:dyDescent="0.35">
      <c r="A142" s="26">
        <v>791002</v>
      </c>
      <c r="B142" s="27">
        <v>2891981</v>
      </c>
      <c r="C142" t="s">
        <v>1409</v>
      </c>
      <c r="D142" t="s">
        <v>74</v>
      </c>
      <c r="E142" t="s">
        <v>213</v>
      </c>
      <c r="F142" s="26">
        <v>5668</v>
      </c>
      <c r="G142" t="s">
        <v>79</v>
      </c>
      <c r="H142" s="26">
        <v>3445</v>
      </c>
      <c r="I142" s="27">
        <v>1.0010699999999999</v>
      </c>
      <c r="J142" t="s">
        <v>65</v>
      </c>
      <c r="K142" t="s">
        <v>155</v>
      </c>
    </row>
    <row r="143" spans="1:11" x14ac:dyDescent="0.35">
      <c r="A143" s="26">
        <v>791001</v>
      </c>
      <c r="B143" s="27">
        <v>2891972</v>
      </c>
      <c r="C143" t="s">
        <v>1409</v>
      </c>
      <c r="D143" t="s">
        <v>74</v>
      </c>
      <c r="E143" t="s">
        <v>213</v>
      </c>
      <c r="F143" s="26">
        <v>5669</v>
      </c>
      <c r="G143" t="s">
        <v>79</v>
      </c>
      <c r="H143" s="26">
        <v>2555</v>
      </c>
      <c r="I143" s="27">
        <v>1.05701</v>
      </c>
      <c r="J143" t="s">
        <v>65</v>
      </c>
      <c r="K143" t="s">
        <v>203</v>
      </c>
    </row>
    <row r="144" spans="1:11" x14ac:dyDescent="0.35">
      <c r="A144" s="26">
        <v>790917</v>
      </c>
      <c r="B144" s="27">
        <v>2891290</v>
      </c>
      <c r="C144" t="s">
        <v>1412</v>
      </c>
      <c r="D144" t="s">
        <v>139</v>
      </c>
      <c r="E144" t="s">
        <v>213</v>
      </c>
      <c r="F144" s="26">
        <v>23862</v>
      </c>
      <c r="G144" t="s">
        <v>68</v>
      </c>
      <c r="H144" s="26">
        <v>3829.16</v>
      </c>
      <c r="I144" s="27">
        <v>1.0960099999999999</v>
      </c>
      <c r="J144" t="s">
        <v>65</v>
      </c>
      <c r="K144" t="s">
        <v>234</v>
      </c>
    </row>
    <row r="145" spans="1:11" x14ac:dyDescent="0.35">
      <c r="A145" s="26">
        <v>790871</v>
      </c>
      <c r="B145" s="27">
        <v>2890735</v>
      </c>
      <c r="C145" t="s">
        <v>1409</v>
      </c>
      <c r="D145" t="s">
        <v>74</v>
      </c>
      <c r="E145" t="s">
        <v>213</v>
      </c>
      <c r="F145" s="26">
        <v>5667</v>
      </c>
      <c r="G145" t="s">
        <v>79</v>
      </c>
      <c r="H145" s="26">
        <v>3445</v>
      </c>
      <c r="I145" s="27">
        <v>1.0480100000000001</v>
      </c>
      <c r="J145" t="s">
        <v>65</v>
      </c>
      <c r="K145" t="s">
        <v>75</v>
      </c>
    </row>
    <row r="146" spans="1:11" x14ac:dyDescent="0.35">
      <c r="A146" s="26">
        <v>789015</v>
      </c>
      <c r="B146" s="27">
        <v>2888450</v>
      </c>
      <c r="C146" t="s">
        <v>1409</v>
      </c>
      <c r="D146" t="s">
        <v>124</v>
      </c>
      <c r="E146" t="s">
        <v>213</v>
      </c>
      <c r="F146" s="26">
        <v>5664</v>
      </c>
      <c r="G146" t="s">
        <v>79</v>
      </c>
      <c r="H146" s="26">
        <v>2720</v>
      </c>
      <c r="I146" s="27">
        <v>1.01101</v>
      </c>
      <c r="J146" t="s">
        <v>65</v>
      </c>
      <c r="K146" t="s">
        <v>1382</v>
      </c>
    </row>
    <row r="147" spans="1:11" x14ac:dyDescent="0.35">
      <c r="A147" s="26">
        <v>788991</v>
      </c>
      <c r="B147" s="27">
        <v>2888198</v>
      </c>
      <c r="C147" t="s">
        <v>608</v>
      </c>
      <c r="D147" t="s">
        <v>124</v>
      </c>
      <c r="E147" t="s">
        <v>213</v>
      </c>
      <c r="F147" s="26">
        <v>1822</v>
      </c>
      <c r="G147" t="s">
        <v>1339</v>
      </c>
      <c r="H147" s="26">
        <v>529.5</v>
      </c>
      <c r="I147" s="27">
        <v>1.07901</v>
      </c>
      <c r="J147" t="s">
        <v>65</v>
      </c>
      <c r="K147" t="s">
        <v>1413</v>
      </c>
    </row>
    <row r="148" spans="1:11" x14ac:dyDescent="0.35">
      <c r="A148" s="26">
        <v>787481</v>
      </c>
      <c r="B148" s="27">
        <v>2885670</v>
      </c>
      <c r="C148" t="s">
        <v>210</v>
      </c>
      <c r="D148" t="s">
        <v>78</v>
      </c>
      <c r="E148" t="s">
        <v>213</v>
      </c>
      <c r="F148" s="26">
        <v>2607</v>
      </c>
      <c r="G148" t="s">
        <v>68</v>
      </c>
      <c r="H148" s="26">
        <v>540</v>
      </c>
      <c r="I148" s="27">
        <v>1.01101</v>
      </c>
      <c r="J148" t="s">
        <v>65</v>
      </c>
      <c r="K148" t="s">
        <v>1382</v>
      </c>
    </row>
    <row r="149" spans="1:11" x14ac:dyDescent="0.35">
      <c r="A149" s="26">
        <v>787478</v>
      </c>
      <c r="B149" s="27">
        <v>2885716</v>
      </c>
      <c r="C149" t="s">
        <v>210</v>
      </c>
      <c r="D149" t="s">
        <v>78</v>
      </c>
      <c r="E149" t="s">
        <v>213</v>
      </c>
      <c r="F149" s="26">
        <v>2604</v>
      </c>
      <c r="G149" t="s">
        <v>68</v>
      </c>
      <c r="H149" s="26">
        <v>540</v>
      </c>
      <c r="I149" s="27">
        <v>1.03301</v>
      </c>
      <c r="J149" t="s">
        <v>65</v>
      </c>
      <c r="K149" t="s">
        <v>1342</v>
      </c>
    </row>
    <row r="150" spans="1:11" x14ac:dyDescent="0.35">
      <c r="A150" s="26">
        <v>787442</v>
      </c>
      <c r="B150" s="27">
        <v>2884899</v>
      </c>
      <c r="C150" t="s">
        <v>210</v>
      </c>
      <c r="D150" t="s">
        <v>78</v>
      </c>
      <c r="E150" t="s">
        <v>213</v>
      </c>
      <c r="F150" s="26">
        <v>2565</v>
      </c>
      <c r="G150" t="s">
        <v>68</v>
      </c>
      <c r="H150" s="26">
        <v>1080</v>
      </c>
      <c r="I150" s="27">
        <v>1.0480100000000001</v>
      </c>
      <c r="J150" t="s">
        <v>65</v>
      </c>
      <c r="K150" t="s">
        <v>75</v>
      </c>
    </row>
    <row r="151" spans="1:11" x14ac:dyDescent="0.35">
      <c r="A151" s="26">
        <v>787440</v>
      </c>
      <c r="B151" s="27">
        <v>2884855</v>
      </c>
      <c r="C151" t="s">
        <v>210</v>
      </c>
      <c r="D151" t="s">
        <v>78</v>
      </c>
      <c r="E151" t="s">
        <v>213</v>
      </c>
      <c r="F151" s="26">
        <v>2564</v>
      </c>
      <c r="G151" t="s">
        <v>68</v>
      </c>
      <c r="H151" s="26">
        <v>500</v>
      </c>
      <c r="I151" s="27">
        <v>1.0480100000000001</v>
      </c>
      <c r="J151" t="s">
        <v>65</v>
      </c>
      <c r="K151" t="s">
        <v>75</v>
      </c>
    </row>
    <row r="152" spans="1:11" x14ac:dyDescent="0.35">
      <c r="A152" s="26">
        <v>787434</v>
      </c>
      <c r="B152" s="27">
        <v>2884751</v>
      </c>
      <c r="C152" t="s">
        <v>210</v>
      </c>
      <c r="D152" t="s">
        <v>78</v>
      </c>
      <c r="E152" t="s">
        <v>213</v>
      </c>
      <c r="F152" s="26">
        <v>2562</v>
      </c>
      <c r="G152" t="s">
        <v>79</v>
      </c>
      <c r="H152" s="26">
        <v>430</v>
      </c>
      <c r="I152" s="27">
        <v>1.00108</v>
      </c>
      <c r="J152" t="s">
        <v>65</v>
      </c>
      <c r="K152" t="s">
        <v>185</v>
      </c>
    </row>
    <row r="153" spans="1:11" x14ac:dyDescent="0.35">
      <c r="A153" s="26">
        <v>787347</v>
      </c>
      <c r="B153" s="27">
        <v>2884055</v>
      </c>
      <c r="C153" t="s">
        <v>1414</v>
      </c>
      <c r="D153" t="s">
        <v>78</v>
      </c>
      <c r="E153" t="s">
        <v>213</v>
      </c>
      <c r="F153" s="26">
        <v>8444</v>
      </c>
      <c r="G153" t="s">
        <v>79</v>
      </c>
      <c r="H153" s="26">
        <v>675</v>
      </c>
      <c r="I153" s="27">
        <v>1.0340100000000001</v>
      </c>
      <c r="J153" t="s">
        <v>65</v>
      </c>
      <c r="K153" t="s">
        <v>159</v>
      </c>
    </row>
    <row r="154" spans="1:11" x14ac:dyDescent="0.35">
      <c r="A154" s="26">
        <v>792690</v>
      </c>
      <c r="B154" s="27">
        <v>2893584</v>
      </c>
      <c r="C154" t="s">
        <v>1415</v>
      </c>
      <c r="D154" t="s">
        <v>127</v>
      </c>
      <c r="E154" t="s">
        <v>216</v>
      </c>
      <c r="F154" s="26">
        <v>20247045</v>
      </c>
      <c r="G154" t="s">
        <v>68</v>
      </c>
      <c r="H154" s="26">
        <v>100</v>
      </c>
      <c r="I154" s="27">
        <v>1.08202</v>
      </c>
      <c r="J154" t="s">
        <v>65</v>
      </c>
      <c r="K154" t="s">
        <v>163</v>
      </c>
    </row>
    <row r="155" spans="1:11" x14ac:dyDescent="0.35">
      <c r="A155" s="26">
        <v>792621</v>
      </c>
      <c r="B155" s="27">
        <v>2893095</v>
      </c>
      <c r="C155" t="s">
        <v>1416</v>
      </c>
      <c r="D155" t="s">
        <v>74</v>
      </c>
      <c r="E155" t="s">
        <v>204</v>
      </c>
      <c r="F155" s="26">
        <v>128138</v>
      </c>
      <c r="G155" t="s">
        <v>68</v>
      </c>
      <c r="H155" s="26">
        <v>294.64999999999998</v>
      </c>
      <c r="I155" s="27">
        <v>1.0101</v>
      </c>
      <c r="J155" t="s">
        <v>65</v>
      </c>
      <c r="K155" t="s">
        <v>1404</v>
      </c>
    </row>
    <row r="156" spans="1:11" x14ac:dyDescent="0.35">
      <c r="A156" s="26">
        <v>792620</v>
      </c>
      <c r="B156" s="27">
        <v>2893087</v>
      </c>
      <c r="C156" t="s">
        <v>1416</v>
      </c>
      <c r="D156" t="s">
        <v>74</v>
      </c>
      <c r="E156" t="s">
        <v>204</v>
      </c>
      <c r="F156" s="26">
        <v>128136</v>
      </c>
      <c r="G156" t="s">
        <v>68</v>
      </c>
      <c r="H156" s="26">
        <v>294.64999999999998</v>
      </c>
      <c r="I156" s="27">
        <v>1.0101</v>
      </c>
      <c r="J156" t="s">
        <v>65</v>
      </c>
      <c r="K156" t="s">
        <v>1404</v>
      </c>
    </row>
    <row r="157" spans="1:11" x14ac:dyDescent="0.35">
      <c r="A157" s="26">
        <v>792619</v>
      </c>
      <c r="B157" s="27">
        <v>2893085</v>
      </c>
      <c r="C157" t="s">
        <v>1416</v>
      </c>
      <c r="D157" t="s">
        <v>74</v>
      </c>
      <c r="E157" t="s">
        <v>204</v>
      </c>
      <c r="F157" s="26">
        <v>128139</v>
      </c>
      <c r="G157" t="s">
        <v>68</v>
      </c>
      <c r="H157" s="26">
        <v>247.77</v>
      </c>
      <c r="I157" s="27">
        <v>1.0100899999999999</v>
      </c>
      <c r="J157" t="s">
        <v>65</v>
      </c>
      <c r="K157" t="s">
        <v>175</v>
      </c>
    </row>
    <row r="158" spans="1:11" x14ac:dyDescent="0.35">
      <c r="A158" s="26">
        <v>792618</v>
      </c>
      <c r="B158" s="27">
        <v>2893083</v>
      </c>
      <c r="C158" t="s">
        <v>1416</v>
      </c>
      <c r="D158" t="s">
        <v>74</v>
      </c>
      <c r="E158" t="s">
        <v>204</v>
      </c>
      <c r="F158" s="26">
        <v>128137</v>
      </c>
      <c r="G158" t="s">
        <v>68</v>
      </c>
      <c r="H158" s="26">
        <v>247.77</v>
      </c>
      <c r="I158" s="27">
        <v>1.0100899999999999</v>
      </c>
      <c r="J158" t="s">
        <v>65</v>
      </c>
      <c r="K158" t="s">
        <v>175</v>
      </c>
    </row>
    <row r="159" spans="1:11" x14ac:dyDescent="0.35">
      <c r="A159" s="26">
        <v>790907</v>
      </c>
      <c r="B159" s="27">
        <v>2891256</v>
      </c>
      <c r="C159" t="s">
        <v>1417</v>
      </c>
      <c r="D159" t="s">
        <v>74</v>
      </c>
      <c r="E159" t="s">
        <v>204</v>
      </c>
      <c r="F159" s="26">
        <v>202497</v>
      </c>
      <c r="G159" t="s">
        <v>68</v>
      </c>
      <c r="H159" s="26">
        <v>10719</v>
      </c>
      <c r="I159" s="27">
        <v>1.01702</v>
      </c>
      <c r="J159" t="s">
        <v>65</v>
      </c>
      <c r="K159" t="s">
        <v>190</v>
      </c>
    </row>
    <row r="160" spans="1:11" x14ac:dyDescent="0.35">
      <c r="A160" s="26">
        <v>789239</v>
      </c>
      <c r="B160" s="27">
        <v>2889486</v>
      </c>
      <c r="C160" t="s">
        <v>220</v>
      </c>
      <c r="D160" t="s">
        <v>78</v>
      </c>
      <c r="E160" t="s">
        <v>204</v>
      </c>
      <c r="F160" s="26">
        <v>46518</v>
      </c>
      <c r="G160" t="s">
        <v>68</v>
      </c>
      <c r="H160" s="26">
        <v>22252.29</v>
      </c>
      <c r="I160" s="27">
        <v>1.0100899999999999</v>
      </c>
      <c r="J160" t="s">
        <v>65</v>
      </c>
      <c r="K160" t="s">
        <v>175</v>
      </c>
    </row>
    <row r="161" spans="1:11" x14ac:dyDescent="0.35">
      <c r="A161" s="26">
        <v>789221</v>
      </c>
      <c r="B161" s="27">
        <v>2889432</v>
      </c>
      <c r="C161" t="s">
        <v>220</v>
      </c>
      <c r="D161" t="s">
        <v>78</v>
      </c>
      <c r="E161" t="s">
        <v>204</v>
      </c>
      <c r="F161" s="26">
        <v>46517</v>
      </c>
      <c r="G161" t="s">
        <v>68</v>
      </c>
      <c r="H161" s="26">
        <v>26132.080000000002</v>
      </c>
      <c r="I161" s="27">
        <v>1.0101</v>
      </c>
      <c r="J161" t="s">
        <v>65</v>
      </c>
      <c r="K161" t="s">
        <v>1404</v>
      </c>
    </row>
    <row r="162" spans="1:11" x14ac:dyDescent="0.35">
      <c r="A162" s="26">
        <v>789219</v>
      </c>
      <c r="B162" s="27">
        <v>2889426</v>
      </c>
      <c r="C162" t="s">
        <v>220</v>
      </c>
      <c r="D162" t="s">
        <v>78</v>
      </c>
      <c r="E162" t="s">
        <v>204</v>
      </c>
      <c r="F162" s="26">
        <v>46516</v>
      </c>
      <c r="G162" t="s">
        <v>68</v>
      </c>
      <c r="H162" s="26">
        <v>11438.44</v>
      </c>
      <c r="I162" s="27">
        <v>1.09501</v>
      </c>
      <c r="J162" t="s">
        <v>65</v>
      </c>
      <c r="K162" t="s">
        <v>192</v>
      </c>
    </row>
    <row r="163" spans="1:11" x14ac:dyDescent="0.35">
      <c r="A163" s="26">
        <v>789214</v>
      </c>
      <c r="B163" s="27">
        <v>2889406</v>
      </c>
      <c r="C163" t="s">
        <v>220</v>
      </c>
      <c r="D163" t="s">
        <v>78</v>
      </c>
      <c r="E163" t="s">
        <v>204</v>
      </c>
      <c r="F163" s="26">
        <v>46512</v>
      </c>
      <c r="G163" t="s">
        <v>68</v>
      </c>
      <c r="H163" s="26">
        <v>18200.830000000002</v>
      </c>
      <c r="I163" s="27">
        <v>1.07501</v>
      </c>
      <c r="J163" t="s">
        <v>65</v>
      </c>
      <c r="K163" t="s">
        <v>158</v>
      </c>
    </row>
    <row r="164" spans="1:11" x14ac:dyDescent="0.35">
      <c r="A164" s="26">
        <v>789211</v>
      </c>
      <c r="B164" s="27">
        <v>2889375</v>
      </c>
      <c r="C164" t="s">
        <v>220</v>
      </c>
      <c r="D164" t="s">
        <v>78</v>
      </c>
      <c r="E164" t="s">
        <v>204</v>
      </c>
      <c r="F164" s="26">
        <v>46509</v>
      </c>
      <c r="G164" t="s">
        <v>68</v>
      </c>
      <c r="H164" s="26">
        <v>10805.9</v>
      </c>
      <c r="I164" s="27">
        <v>1.08202</v>
      </c>
      <c r="J164" t="s">
        <v>65</v>
      </c>
      <c r="K164" t="s">
        <v>163</v>
      </c>
    </row>
    <row r="165" spans="1:11" x14ac:dyDescent="0.35">
      <c r="A165" s="26">
        <v>789207</v>
      </c>
      <c r="B165" s="27">
        <v>2889363</v>
      </c>
      <c r="C165" t="s">
        <v>220</v>
      </c>
      <c r="D165" t="s">
        <v>78</v>
      </c>
      <c r="E165" t="s">
        <v>204</v>
      </c>
      <c r="F165" s="26">
        <v>46508</v>
      </c>
      <c r="G165" t="s">
        <v>68</v>
      </c>
      <c r="H165" s="26">
        <v>12132.69</v>
      </c>
      <c r="I165" s="27">
        <v>1.06501</v>
      </c>
      <c r="J165" t="s">
        <v>65</v>
      </c>
      <c r="K165" t="s">
        <v>145</v>
      </c>
    </row>
    <row r="166" spans="1:11" x14ac:dyDescent="0.35">
      <c r="A166" s="26">
        <v>789202</v>
      </c>
      <c r="B166" s="27">
        <v>2889345</v>
      </c>
      <c r="C166" t="s">
        <v>220</v>
      </c>
      <c r="D166" t="s">
        <v>78</v>
      </c>
      <c r="E166" t="s">
        <v>204</v>
      </c>
      <c r="F166" s="26">
        <v>46504</v>
      </c>
      <c r="G166" t="s">
        <v>68</v>
      </c>
      <c r="H166" s="26">
        <v>35805.120000000003</v>
      </c>
      <c r="I166" s="27">
        <v>1.03901</v>
      </c>
      <c r="J166" t="s">
        <v>65</v>
      </c>
      <c r="K166" t="s">
        <v>186</v>
      </c>
    </row>
    <row r="167" spans="1:11" x14ac:dyDescent="0.35">
      <c r="A167" s="26">
        <v>789200</v>
      </c>
      <c r="B167" s="27">
        <v>2889595</v>
      </c>
      <c r="C167" t="s">
        <v>220</v>
      </c>
      <c r="D167" t="s">
        <v>78</v>
      </c>
      <c r="E167" t="s">
        <v>204</v>
      </c>
      <c r="F167" s="26">
        <v>46503</v>
      </c>
      <c r="G167" t="s">
        <v>68</v>
      </c>
      <c r="H167" s="26">
        <v>28838.28</v>
      </c>
      <c r="I167" s="27">
        <v>1.0460100000000001</v>
      </c>
      <c r="J167" t="s">
        <v>65</v>
      </c>
      <c r="K167" t="s">
        <v>66</v>
      </c>
    </row>
    <row r="168" spans="1:11" x14ac:dyDescent="0.35">
      <c r="A168" s="26">
        <v>789198</v>
      </c>
      <c r="B168" s="27">
        <v>2889315</v>
      </c>
      <c r="C168" t="s">
        <v>220</v>
      </c>
      <c r="D168" t="s">
        <v>78</v>
      </c>
      <c r="E168" t="s">
        <v>204</v>
      </c>
      <c r="F168" s="26">
        <v>46502</v>
      </c>
      <c r="G168" t="s">
        <v>68</v>
      </c>
      <c r="H168" s="26">
        <v>5763.61</v>
      </c>
      <c r="I168" s="27">
        <v>1.0460199999999999</v>
      </c>
      <c r="J168" t="s">
        <v>65</v>
      </c>
      <c r="K168" t="s">
        <v>66</v>
      </c>
    </row>
    <row r="169" spans="1:11" x14ac:dyDescent="0.35">
      <c r="A169" s="26">
        <v>789184</v>
      </c>
      <c r="B169" s="27">
        <v>2889223</v>
      </c>
      <c r="C169" t="s">
        <v>220</v>
      </c>
      <c r="D169" t="s">
        <v>78</v>
      </c>
      <c r="E169" t="s">
        <v>204</v>
      </c>
      <c r="F169" s="26">
        <v>46495</v>
      </c>
      <c r="G169" t="s">
        <v>68</v>
      </c>
      <c r="H169" s="26">
        <v>10426.469999999999</v>
      </c>
      <c r="I169" s="27">
        <v>1.04301</v>
      </c>
      <c r="J169" t="s">
        <v>65</v>
      </c>
      <c r="K169" t="s">
        <v>196</v>
      </c>
    </row>
    <row r="170" spans="1:11" x14ac:dyDescent="0.35">
      <c r="A170" s="26">
        <v>789179</v>
      </c>
      <c r="B170" s="27">
        <v>2889204</v>
      </c>
      <c r="C170" t="s">
        <v>220</v>
      </c>
      <c r="D170" t="s">
        <v>78</v>
      </c>
      <c r="E170" t="s">
        <v>204</v>
      </c>
      <c r="F170" s="26">
        <v>46493</v>
      </c>
      <c r="G170" t="s">
        <v>68</v>
      </c>
      <c r="H170" s="26">
        <v>10706.04</v>
      </c>
      <c r="I170" s="27">
        <v>1.04603</v>
      </c>
      <c r="J170" t="s">
        <v>65</v>
      </c>
      <c r="K170" t="s">
        <v>66</v>
      </c>
    </row>
    <row r="171" spans="1:11" x14ac:dyDescent="0.35">
      <c r="A171" s="26">
        <v>789171</v>
      </c>
      <c r="B171" s="27">
        <v>2889169</v>
      </c>
      <c r="C171" t="s">
        <v>220</v>
      </c>
      <c r="D171" t="s">
        <v>78</v>
      </c>
      <c r="E171" t="s">
        <v>204</v>
      </c>
      <c r="F171" s="26">
        <v>46490</v>
      </c>
      <c r="G171" t="s">
        <v>68</v>
      </c>
      <c r="H171" s="26">
        <v>15702.15</v>
      </c>
      <c r="I171" s="27">
        <v>1.0300100000000001</v>
      </c>
      <c r="J171" t="s">
        <v>65</v>
      </c>
      <c r="K171" t="s">
        <v>156</v>
      </c>
    </row>
    <row r="172" spans="1:11" x14ac:dyDescent="0.35">
      <c r="A172" s="26">
        <v>789168</v>
      </c>
      <c r="B172" s="27">
        <v>2889340</v>
      </c>
      <c r="C172" t="s">
        <v>220</v>
      </c>
      <c r="D172" t="s">
        <v>78</v>
      </c>
      <c r="E172" t="s">
        <v>204</v>
      </c>
      <c r="F172" s="26">
        <v>46489</v>
      </c>
      <c r="G172" t="s">
        <v>68</v>
      </c>
      <c r="H172" s="26">
        <v>144451.24</v>
      </c>
      <c r="I172" s="27">
        <v>1.02701</v>
      </c>
      <c r="J172" t="s">
        <v>65</v>
      </c>
      <c r="K172" t="s">
        <v>179</v>
      </c>
    </row>
    <row r="173" spans="1:11" x14ac:dyDescent="0.35">
      <c r="A173" s="26">
        <v>789167</v>
      </c>
      <c r="B173" s="27">
        <v>2889182</v>
      </c>
      <c r="C173" t="s">
        <v>220</v>
      </c>
      <c r="D173" t="s">
        <v>78</v>
      </c>
      <c r="E173" t="s">
        <v>204</v>
      </c>
      <c r="F173" s="26">
        <v>46488</v>
      </c>
      <c r="G173" t="s">
        <v>68</v>
      </c>
      <c r="H173" s="26">
        <v>20285.36</v>
      </c>
      <c r="I173" s="27">
        <v>1.00101</v>
      </c>
      <c r="J173" t="s">
        <v>65</v>
      </c>
      <c r="K173" t="s">
        <v>86</v>
      </c>
    </row>
    <row r="174" spans="1:11" x14ac:dyDescent="0.35">
      <c r="A174" s="26">
        <v>789121</v>
      </c>
      <c r="B174" s="27">
        <v>2889167</v>
      </c>
      <c r="C174" t="s">
        <v>154</v>
      </c>
      <c r="D174" t="s">
        <v>124</v>
      </c>
      <c r="E174" t="s">
        <v>204</v>
      </c>
      <c r="F174" s="26">
        <v>410079</v>
      </c>
      <c r="G174" t="s">
        <v>68</v>
      </c>
      <c r="H174" s="26">
        <v>12626.46</v>
      </c>
      <c r="I174" s="27">
        <v>1.07602</v>
      </c>
      <c r="J174" t="s">
        <v>65</v>
      </c>
      <c r="K174" t="s">
        <v>77</v>
      </c>
    </row>
    <row r="175" spans="1:11" x14ac:dyDescent="0.35">
      <c r="A175" s="26">
        <v>789120</v>
      </c>
      <c r="B175" s="27">
        <v>2889126</v>
      </c>
      <c r="C175" t="s">
        <v>154</v>
      </c>
      <c r="D175" t="s">
        <v>124</v>
      </c>
      <c r="E175" t="s">
        <v>204</v>
      </c>
      <c r="F175" s="26">
        <v>410085</v>
      </c>
      <c r="G175" t="s">
        <v>416</v>
      </c>
      <c r="H175" s="26">
        <v>1017.05</v>
      </c>
      <c r="I175" s="27">
        <v>1.0220100000000001</v>
      </c>
      <c r="J175" t="s">
        <v>65</v>
      </c>
      <c r="K175" t="s">
        <v>149</v>
      </c>
    </row>
    <row r="176" spans="1:11" x14ac:dyDescent="0.35">
      <c r="A176" s="26">
        <v>785919</v>
      </c>
      <c r="B176" s="27">
        <v>2881153</v>
      </c>
      <c r="C176" t="s">
        <v>220</v>
      </c>
      <c r="D176" t="s">
        <v>129</v>
      </c>
      <c r="E176" t="s">
        <v>204</v>
      </c>
      <c r="F176" s="26">
        <v>46380</v>
      </c>
      <c r="G176" t="s">
        <v>68</v>
      </c>
      <c r="H176" s="26">
        <v>57313.62</v>
      </c>
      <c r="I176" s="27">
        <v>1.0060100000000001</v>
      </c>
      <c r="J176" t="s">
        <v>65</v>
      </c>
      <c r="K176" t="s">
        <v>184</v>
      </c>
    </row>
    <row r="177" spans="1:11" x14ac:dyDescent="0.35">
      <c r="A177" s="26">
        <v>785908</v>
      </c>
      <c r="B177" s="27">
        <v>2881150</v>
      </c>
      <c r="C177" t="s">
        <v>220</v>
      </c>
      <c r="D177" t="s">
        <v>129</v>
      </c>
      <c r="E177" t="s">
        <v>204</v>
      </c>
      <c r="F177" s="26">
        <v>46377</v>
      </c>
      <c r="G177" t="s">
        <v>68</v>
      </c>
      <c r="H177" s="26">
        <v>20285.36</v>
      </c>
      <c r="I177" s="27">
        <v>1.00101</v>
      </c>
      <c r="J177" t="s">
        <v>65</v>
      </c>
      <c r="K177" t="s">
        <v>86</v>
      </c>
    </row>
    <row r="178" spans="1:11" x14ac:dyDescent="0.35">
      <c r="A178" s="26">
        <v>784694</v>
      </c>
      <c r="B178" s="27">
        <v>2879526</v>
      </c>
      <c r="C178" t="s">
        <v>222</v>
      </c>
      <c r="D178" t="s">
        <v>139</v>
      </c>
      <c r="E178" t="s">
        <v>204</v>
      </c>
      <c r="F178" s="26">
        <v>1745</v>
      </c>
      <c r="G178" t="s">
        <v>1418</v>
      </c>
      <c r="H178" s="26">
        <v>938</v>
      </c>
      <c r="I178" s="27">
        <v>1.0300100000000001</v>
      </c>
      <c r="J178" t="s">
        <v>65</v>
      </c>
      <c r="K178" t="s">
        <v>156</v>
      </c>
    </row>
    <row r="179" spans="1:11" x14ac:dyDescent="0.35">
      <c r="A179" s="26">
        <v>781501</v>
      </c>
      <c r="B179" s="27">
        <v>2871133</v>
      </c>
      <c r="C179" t="s">
        <v>223</v>
      </c>
      <c r="D179" t="s">
        <v>135</v>
      </c>
      <c r="E179" t="s">
        <v>204</v>
      </c>
      <c r="F179" s="26">
        <v>4544</v>
      </c>
      <c r="G179" t="s">
        <v>1339</v>
      </c>
      <c r="H179" s="26">
        <v>1728.9</v>
      </c>
      <c r="I179" s="27">
        <v>1.0100899999999999</v>
      </c>
      <c r="J179" t="s">
        <v>65</v>
      </c>
      <c r="K179" t="s">
        <v>175</v>
      </c>
    </row>
    <row r="180" spans="1:11" x14ac:dyDescent="0.35">
      <c r="A180" s="26">
        <v>792697</v>
      </c>
      <c r="B180" s="27">
        <v>2893782</v>
      </c>
      <c r="C180" t="s">
        <v>1419</v>
      </c>
      <c r="D180" t="s">
        <v>127</v>
      </c>
      <c r="E180" t="s">
        <v>255</v>
      </c>
      <c r="F180" s="26">
        <v>2024304</v>
      </c>
      <c r="G180" t="s">
        <v>79</v>
      </c>
      <c r="H180" s="26">
        <v>770</v>
      </c>
      <c r="I180" s="27">
        <v>1.02701</v>
      </c>
      <c r="J180" t="s">
        <v>65</v>
      </c>
      <c r="K180" t="s">
        <v>179</v>
      </c>
    </row>
    <row r="181" spans="1:11" x14ac:dyDescent="0.35">
      <c r="A181" s="26">
        <v>792624</v>
      </c>
      <c r="B181" s="27">
        <v>2893071</v>
      </c>
      <c r="C181" t="s">
        <v>1420</v>
      </c>
      <c r="D181" t="s">
        <v>127</v>
      </c>
      <c r="E181" t="s">
        <v>1421</v>
      </c>
      <c r="F181" s="26">
        <v>66627</v>
      </c>
      <c r="G181" t="s">
        <v>68</v>
      </c>
      <c r="H181" s="26">
        <v>42192.06</v>
      </c>
      <c r="I181" s="27">
        <v>1.12201</v>
      </c>
      <c r="J181" t="s">
        <v>65</v>
      </c>
      <c r="K181" t="s">
        <v>1422</v>
      </c>
    </row>
    <row r="182" spans="1:11" x14ac:dyDescent="0.35">
      <c r="A182" s="26">
        <v>792590</v>
      </c>
      <c r="B182" s="27">
        <v>2892873</v>
      </c>
      <c r="C182" t="s">
        <v>1423</v>
      </c>
      <c r="D182" t="s">
        <v>74</v>
      </c>
      <c r="E182" t="s">
        <v>230</v>
      </c>
      <c r="F182" s="26">
        <v>15941</v>
      </c>
      <c r="G182" t="s">
        <v>79</v>
      </c>
      <c r="H182" s="26">
        <v>1821.82</v>
      </c>
      <c r="I182" s="27">
        <v>1.0100899999999999</v>
      </c>
      <c r="J182" t="s">
        <v>76</v>
      </c>
      <c r="K182" t="s">
        <v>175</v>
      </c>
    </row>
    <row r="183" spans="1:11" x14ac:dyDescent="0.35">
      <c r="A183" s="26">
        <v>792372</v>
      </c>
      <c r="B183" s="27">
        <v>2892861</v>
      </c>
      <c r="C183" t="s">
        <v>1424</v>
      </c>
      <c r="D183" t="s">
        <v>74</v>
      </c>
      <c r="E183" t="s">
        <v>230</v>
      </c>
      <c r="F183" s="26">
        <v>30929</v>
      </c>
      <c r="G183" t="s">
        <v>68</v>
      </c>
      <c r="H183" s="26">
        <v>53.8</v>
      </c>
      <c r="I183" s="27">
        <v>1.09501</v>
      </c>
      <c r="J183" t="s">
        <v>76</v>
      </c>
      <c r="K183" t="s">
        <v>192</v>
      </c>
    </row>
    <row r="184" spans="1:11" x14ac:dyDescent="0.35">
      <c r="A184" s="26">
        <v>792366</v>
      </c>
      <c r="B184" s="27">
        <v>2892859</v>
      </c>
      <c r="C184" t="s">
        <v>1425</v>
      </c>
      <c r="D184" t="s">
        <v>74</v>
      </c>
      <c r="E184" t="s">
        <v>224</v>
      </c>
      <c r="F184" s="26">
        <v>2421</v>
      </c>
      <c r="G184" t="s">
        <v>68</v>
      </c>
      <c r="H184" s="26">
        <v>10962.06</v>
      </c>
      <c r="I184" s="27">
        <v>1.1020099999999999</v>
      </c>
      <c r="J184" t="s">
        <v>65</v>
      </c>
      <c r="K184" t="s">
        <v>161</v>
      </c>
    </row>
    <row r="185" spans="1:11" x14ac:dyDescent="0.35">
      <c r="A185" s="26">
        <v>791704</v>
      </c>
      <c r="B185" s="27">
        <v>2892810</v>
      </c>
      <c r="C185" t="s">
        <v>434</v>
      </c>
      <c r="D185" t="s">
        <v>74</v>
      </c>
      <c r="E185" t="s">
        <v>237</v>
      </c>
      <c r="F185" s="26">
        <v>8211</v>
      </c>
      <c r="G185" t="s">
        <v>79</v>
      </c>
      <c r="H185" s="26">
        <v>4310.3</v>
      </c>
      <c r="I185" s="27">
        <v>1.0480100000000001</v>
      </c>
      <c r="J185" t="s">
        <v>76</v>
      </c>
      <c r="K185" t="s">
        <v>75</v>
      </c>
    </row>
    <row r="186" spans="1:11" x14ac:dyDescent="0.35">
      <c r="A186" s="26">
        <v>791465</v>
      </c>
      <c r="B186" s="27">
        <v>2892809</v>
      </c>
      <c r="C186" t="s">
        <v>1426</v>
      </c>
      <c r="D186" t="s">
        <v>74</v>
      </c>
      <c r="E186" t="s">
        <v>1427</v>
      </c>
      <c r="F186" s="26">
        <v>798628</v>
      </c>
      <c r="G186" t="s">
        <v>1339</v>
      </c>
      <c r="H186" s="26">
        <v>667.82</v>
      </c>
      <c r="I186" s="27">
        <v>1.0300100000000001</v>
      </c>
      <c r="J186" t="s">
        <v>76</v>
      </c>
      <c r="K186" t="s">
        <v>156</v>
      </c>
    </row>
    <row r="187" spans="1:11" x14ac:dyDescent="0.35">
      <c r="A187" s="26">
        <v>791377</v>
      </c>
      <c r="B187" s="27">
        <v>2892789</v>
      </c>
      <c r="C187" t="s">
        <v>1428</v>
      </c>
      <c r="D187" t="s">
        <v>74</v>
      </c>
      <c r="E187" t="s">
        <v>247</v>
      </c>
      <c r="F187" s="26">
        <v>288129</v>
      </c>
      <c r="G187" t="s">
        <v>79</v>
      </c>
      <c r="H187" s="26">
        <v>80.349999999999994</v>
      </c>
      <c r="I187" s="27">
        <v>1.0220100000000001</v>
      </c>
      <c r="J187" t="s">
        <v>76</v>
      </c>
      <c r="K187" t="s">
        <v>149</v>
      </c>
    </row>
    <row r="188" spans="1:11" x14ac:dyDescent="0.35">
      <c r="A188" s="26">
        <v>791000</v>
      </c>
      <c r="B188" s="27">
        <v>2891970</v>
      </c>
      <c r="C188" t="s">
        <v>1429</v>
      </c>
      <c r="D188" t="s">
        <v>129</v>
      </c>
      <c r="E188" t="s">
        <v>224</v>
      </c>
      <c r="F188" s="26">
        <v>123450</v>
      </c>
      <c r="G188" t="s">
        <v>1339</v>
      </c>
      <c r="H188" s="26">
        <v>696.77</v>
      </c>
      <c r="I188" s="27">
        <v>1.0220100000000001</v>
      </c>
      <c r="J188" t="s">
        <v>65</v>
      </c>
      <c r="K188" t="s">
        <v>149</v>
      </c>
    </row>
    <row r="189" spans="1:11" x14ac:dyDescent="0.35">
      <c r="A189" s="26">
        <v>790975</v>
      </c>
      <c r="B189" s="27">
        <v>2891628</v>
      </c>
      <c r="C189" t="s">
        <v>1430</v>
      </c>
      <c r="D189" t="s">
        <v>124</v>
      </c>
      <c r="E189" t="s">
        <v>152</v>
      </c>
      <c r="F189" s="26">
        <v>11984</v>
      </c>
      <c r="G189" t="s">
        <v>68</v>
      </c>
      <c r="H189" s="26">
        <v>9447.18</v>
      </c>
      <c r="I189" s="27">
        <v>1.0920300000000001</v>
      </c>
      <c r="J189" t="s">
        <v>65</v>
      </c>
      <c r="K189" t="s">
        <v>164</v>
      </c>
    </row>
    <row r="190" spans="1:11" x14ac:dyDescent="0.35">
      <c r="A190" s="26">
        <v>790935</v>
      </c>
      <c r="B190" s="27">
        <v>2891496</v>
      </c>
      <c r="C190" t="s">
        <v>616</v>
      </c>
      <c r="D190" t="s">
        <v>124</v>
      </c>
      <c r="E190" t="s">
        <v>224</v>
      </c>
      <c r="F190" s="26">
        <v>142849</v>
      </c>
      <c r="G190" t="s">
        <v>68</v>
      </c>
      <c r="H190" s="26">
        <v>3219.3</v>
      </c>
      <c r="I190" s="27">
        <v>1.0920099999999999</v>
      </c>
      <c r="J190" t="s">
        <v>65</v>
      </c>
      <c r="K190" t="s">
        <v>164</v>
      </c>
    </row>
    <row r="191" spans="1:11" x14ac:dyDescent="0.35">
      <c r="A191" s="26">
        <v>790934</v>
      </c>
      <c r="B191" s="27">
        <v>2891495</v>
      </c>
      <c r="C191" t="s">
        <v>616</v>
      </c>
      <c r="D191" t="s">
        <v>124</v>
      </c>
      <c r="E191" t="s">
        <v>224</v>
      </c>
      <c r="F191" s="26">
        <v>142796</v>
      </c>
      <c r="G191" t="s">
        <v>68</v>
      </c>
      <c r="H191" s="26">
        <v>3219.3</v>
      </c>
      <c r="I191" s="27">
        <v>1.09301</v>
      </c>
      <c r="J191" t="s">
        <v>65</v>
      </c>
      <c r="K191" t="s">
        <v>617</v>
      </c>
    </row>
    <row r="192" spans="1:11" x14ac:dyDescent="0.35">
      <c r="A192" s="26">
        <v>790887</v>
      </c>
      <c r="B192" s="27">
        <v>2890906</v>
      </c>
      <c r="C192" t="s">
        <v>1401</v>
      </c>
      <c r="D192" t="s">
        <v>124</v>
      </c>
      <c r="E192" t="s">
        <v>231</v>
      </c>
      <c r="F192" s="26">
        <v>3544</v>
      </c>
      <c r="G192" t="s">
        <v>79</v>
      </c>
      <c r="H192" s="26">
        <v>2878</v>
      </c>
      <c r="I192" s="27">
        <v>1.02901</v>
      </c>
      <c r="J192" t="s">
        <v>65</v>
      </c>
      <c r="K192" t="s">
        <v>119</v>
      </c>
    </row>
    <row r="193" spans="1:11" x14ac:dyDescent="0.35">
      <c r="A193" s="26">
        <v>789209</v>
      </c>
      <c r="B193" s="27">
        <v>2889374</v>
      </c>
      <c r="C193" t="s">
        <v>225</v>
      </c>
      <c r="D193" t="s">
        <v>124</v>
      </c>
      <c r="E193" t="s">
        <v>224</v>
      </c>
      <c r="F193" s="26">
        <v>16777</v>
      </c>
      <c r="G193" t="s">
        <v>79</v>
      </c>
      <c r="H193" s="26">
        <v>1350</v>
      </c>
      <c r="I193" s="27">
        <v>1.02901</v>
      </c>
      <c r="J193" t="s">
        <v>76</v>
      </c>
      <c r="K193" t="s">
        <v>119</v>
      </c>
    </row>
    <row r="194" spans="1:11" x14ac:dyDescent="0.35">
      <c r="A194" s="26">
        <v>789130</v>
      </c>
      <c r="B194" s="27">
        <v>2889075</v>
      </c>
      <c r="C194" t="s">
        <v>1431</v>
      </c>
      <c r="D194" t="s">
        <v>124</v>
      </c>
      <c r="E194" t="s">
        <v>224</v>
      </c>
      <c r="F194" s="26">
        <v>51524</v>
      </c>
      <c r="G194" t="s">
        <v>68</v>
      </c>
      <c r="H194" s="26">
        <v>5255.37</v>
      </c>
      <c r="I194" s="27">
        <v>1.0100100000000001</v>
      </c>
      <c r="J194" t="s">
        <v>65</v>
      </c>
      <c r="K194" t="s">
        <v>69</v>
      </c>
    </row>
    <row r="195" spans="1:11" x14ac:dyDescent="0.35">
      <c r="A195" s="26">
        <v>788907</v>
      </c>
      <c r="B195" s="27">
        <v>2886930</v>
      </c>
      <c r="C195" t="s">
        <v>470</v>
      </c>
      <c r="D195" t="s">
        <v>120</v>
      </c>
      <c r="E195" t="s">
        <v>244</v>
      </c>
      <c r="F195" s="26">
        <v>134</v>
      </c>
      <c r="G195" t="s">
        <v>68</v>
      </c>
      <c r="H195" s="26">
        <v>15650.65</v>
      </c>
      <c r="I195" s="27">
        <v>1.0740099999999999</v>
      </c>
      <c r="J195" t="s">
        <v>76</v>
      </c>
      <c r="K195" t="s">
        <v>105</v>
      </c>
    </row>
    <row r="196" spans="1:11" x14ac:dyDescent="0.35">
      <c r="A196" s="26">
        <v>788867</v>
      </c>
      <c r="B196" s="27">
        <v>2886924</v>
      </c>
      <c r="C196" t="s">
        <v>118</v>
      </c>
      <c r="D196" t="s">
        <v>120</v>
      </c>
      <c r="E196" t="s">
        <v>244</v>
      </c>
      <c r="F196" s="26">
        <v>415367</v>
      </c>
      <c r="G196" t="s">
        <v>416</v>
      </c>
      <c r="H196" s="26">
        <v>757.68</v>
      </c>
      <c r="I196" s="27">
        <v>1.02901</v>
      </c>
      <c r="J196" t="s">
        <v>76</v>
      </c>
      <c r="K196" t="s">
        <v>119</v>
      </c>
    </row>
    <row r="197" spans="1:11" x14ac:dyDescent="0.35">
      <c r="A197" s="26">
        <v>787433</v>
      </c>
      <c r="B197" s="27">
        <v>2884729</v>
      </c>
      <c r="C197" t="s">
        <v>634</v>
      </c>
      <c r="D197" t="s">
        <v>78</v>
      </c>
      <c r="E197" t="s">
        <v>147</v>
      </c>
      <c r="F197" s="26">
        <v>1992</v>
      </c>
      <c r="G197" t="s">
        <v>68</v>
      </c>
      <c r="H197" s="26">
        <v>4257</v>
      </c>
      <c r="I197" s="27">
        <v>1.0860099999999999</v>
      </c>
      <c r="J197" t="s">
        <v>65</v>
      </c>
      <c r="K197" t="s">
        <v>151</v>
      </c>
    </row>
    <row r="198" spans="1:11" x14ac:dyDescent="0.35">
      <c r="A198" s="26">
        <v>787402</v>
      </c>
      <c r="B198" s="27">
        <v>2884256</v>
      </c>
      <c r="C198" t="s">
        <v>634</v>
      </c>
      <c r="D198" t="s">
        <v>116</v>
      </c>
      <c r="E198" t="s">
        <v>147</v>
      </c>
      <c r="F198" s="26">
        <v>1980</v>
      </c>
      <c r="G198" t="s">
        <v>1339</v>
      </c>
      <c r="H198" s="26">
        <v>8085</v>
      </c>
      <c r="I198" s="27">
        <v>1.07101</v>
      </c>
      <c r="J198" t="s">
        <v>65</v>
      </c>
      <c r="K198" t="s">
        <v>112</v>
      </c>
    </row>
    <row r="199" spans="1:11" x14ac:dyDescent="0.35">
      <c r="A199" s="26">
        <v>787313</v>
      </c>
      <c r="B199" s="27">
        <v>2883664</v>
      </c>
      <c r="C199" t="s">
        <v>1432</v>
      </c>
      <c r="D199" t="s">
        <v>78</v>
      </c>
      <c r="E199" t="s">
        <v>1433</v>
      </c>
      <c r="F199" s="26">
        <v>202410</v>
      </c>
      <c r="G199" t="s">
        <v>79</v>
      </c>
      <c r="H199" s="26">
        <v>4977.5</v>
      </c>
      <c r="I199" s="27">
        <v>1.02901</v>
      </c>
      <c r="J199" t="s">
        <v>65</v>
      </c>
      <c r="K199" t="s">
        <v>119</v>
      </c>
    </row>
    <row r="200" spans="1:11" x14ac:dyDescent="0.35">
      <c r="A200" s="26">
        <v>787290</v>
      </c>
      <c r="B200" s="27">
        <v>2883151</v>
      </c>
      <c r="C200" t="s">
        <v>635</v>
      </c>
      <c r="D200" t="s">
        <v>78</v>
      </c>
      <c r="E200" t="s">
        <v>147</v>
      </c>
      <c r="F200" s="26">
        <v>2024837</v>
      </c>
      <c r="G200" t="s">
        <v>1418</v>
      </c>
      <c r="H200" s="26">
        <v>580.29</v>
      </c>
      <c r="I200" s="27">
        <v>1.00101</v>
      </c>
      <c r="J200" t="s">
        <v>65</v>
      </c>
      <c r="K200" t="s">
        <v>86</v>
      </c>
    </row>
    <row r="201" spans="1:11" x14ac:dyDescent="0.35">
      <c r="A201" s="26">
        <v>787252</v>
      </c>
      <c r="B201" s="27">
        <v>2882879</v>
      </c>
      <c r="C201" t="s">
        <v>245</v>
      </c>
      <c r="D201" t="s">
        <v>116</v>
      </c>
      <c r="E201" t="s">
        <v>152</v>
      </c>
      <c r="F201" s="26">
        <v>6933554</v>
      </c>
      <c r="G201" t="s">
        <v>1339</v>
      </c>
      <c r="H201" s="26">
        <v>3397.19</v>
      </c>
      <c r="I201" s="27">
        <v>1.0101</v>
      </c>
      <c r="J201" t="s">
        <v>76</v>
      </c>
      <c r="K201" t="s">
        <v>1404</v>
      </c>
    </row>
    <row r="202" spans="1:11" x14ac:dyDescent="0.35">
      <c r="A202" s="26">
        <v>787102</v>
      </c>
      <c r="B202" s="27">
        <v>2882878</v>
      </c>
      <c r="C202" t="s">
        <v>636</v>
      </c>
      <c r="D202" t="s">
        <v>116</v>
      </c>
      <c r="E202" t="s">
        <v>247</v>
      </c>
      <c r="F202" s="26">
        <v>544610</v>
      </c>
      <c r="G202" t="s">
        <v>83</v>
      </c>
      <c r="H202" s="26">
        <v>932.33</v>
      </c>
      <c r="I202" s="27">
        <v>1.0740099999999999</v>
      </c>
      <c r="J202" t="s">
        <v>76</v>
      </c>
      <c r="K202" t="s">
        <v>105</v>
      </c>
    </row>
    <row r="203" spans="1:11" x14ac:dyDescent="0.35">
      <c r="A203" s="26">
        <v>787080</v>
      </c>
      <c r="B203" s="27">
        <v>2895168</v>
      </c>
      <c r="C203" t="s">
        <v>1434</v>
      </c>
      <c r="D203" t="s">
        <v>116</v>
      </c>
      <c r="E203" t="s">
        <v>237</v>
      </c>
      <c r="F203" s="26">
        <v>69146</v>
      </c>
      <c r="G203" t="s">
        <v>68</v>
      </c>
      <c r="H203" s="26">
        <v>2250</v>
      </c>
      <c r="I203" s="27">
        <v>1.0740099999999999</v>
      </c>
      <c r="J203" t="s">
        <v>76</v>
      </c>
      <c r="K203" t="s">
        <v>105</v>
      </c>
    </row>
    <row r="204" spans="1:11" x14ac:dyDescent="0.35">
      <c r="A204" s="26">
        <v>786383</v>
      </c>
      <c r="B204" s="27">
        <v>2882808</v>
      </c>
      <c r="C204" t="s">
        <v>245</v>
      </c>
      <c r="D204" t="s">
        <v>116</v>
      </c>
      <c r="E204" t="s">
        <v>249</v>
      </c>
      <c r="F204" s="26">
        <v>6933430</v>
      </c>
      <c r="G204" t="s">
        <v>1339</v>
      </c>
      <c r="H204" s="26">
        <v>4831.6099999999997</v>
      </c>
      <c r="I204" s="27">
        <v>1.02701</v>
      </c>
      <c r="J204" t="s">
        <v>76</v>
      </c>
      <c r="K204" t="s">
        <v>179</v>
      </c>
    </row>
    <row r="205" spans="1:11" x14ac:dyDescent="0.35">
      <c r="A205" s="26">
        <v>786370</v>
      </c>
      <c r="B205" s="27">
        <v>2882799</v>
      </c>
      <c r="C205" t="s">
        <v>118</v>
      </c>
      <c r="D205" t="s">
        <v>116</v>
      </c>
      <c r="E205" t="s">
        <v>237</v>
      </c>
      <c r="F205" s="26">
        <v>415118</v>
      </c>
      <c r="G205" t="s">
        <v>416</v>
      </c>
      <c r="H205" s="26">
        <v>978.53</v>
      </c>
      <c r="I205" s="27">
        <v>1.02901</v>
      </c>
      <c r="J205" t="s">
        <v>76</v>
      </c>
      <c r="K205" t="s">
        <v>119</v>
      </c>
    </row>
    <row r="206" spans="1:11" x14ac:dyDescent="0.35">
      <c r="A206" s="26">
        <v>786065</v>
      </c>
      <c r="B206" s="27">
        <v>2882041</v>
      </c>
      <c r="C206" t="s">
        <v>1435</v>
      </c>
      <c r="D206" t="s">
        <v>116</v>
      </c>
      <c r="E206" t="s">
        <v>1433</v>
      </c>
      <c r="F206" s="26">
        <v>205345</v>
      </c>
      <c r="G206" t="s">
        <v>68</v>
      </c>
      <c r="H206" s="26">
        <v>38020.43</v>
      </c>
      <c r="I206" s="27">
        <v>1.0010399999999999</v>
      </c>
      <c r="J206" t="s">
        <v>65</v>
      </c>
      <c r="K206" t="s">
        <v>86</v>
      </c>
    </row>
    <row r="207" spans="1:11" x14ac:dyDescent="0.35">
      <c r="A207" s="26">
        <v>785979</v>
      </c>
      <c r="B207" s="27">
        <v>2881285</v>
      </c>
      <c r="C207" t="s">
        <v>473</v>
      </c>
      <c r="D207" t="s">
        <v>116</v>
      </c>
      <c r="E207" t="s">
        <v>147</v>
      </c>
      <c r="F207" s="26">
        <v>51</v>
      </c>
      <c r="G207" t="s">
        <v>68</v>
      </c>
      <c r="H207" s="26">
        <v>119421</v>
      </c>
      <c r="I207" s="27">
        <v>1.0010399999999999</v>
      </c>
      <c r="J207" t="s">
        <v>65</v>
      </c>
      <c r="K207" t="s">
        <v>86</v>
      </c>
    </row>
    <row r="208" spans="1:11" x14ac:dyDescent="0.35">
      <c r="A208" s="26">
        <v>785974</v>
      </c>
      <c r="B208" s="27">
        <v>2881298</v>
      </c>
      <c r="C208" t="s">
        <v>1436</v>
      </c>
      <c r="D208" t="s">
        <v>116</v>
      </c>
      <c r="E208" t="s">
        <v>1437</v>
      </c>
      <c r="F208" s="26">
        <v>922701</v>
      </c>
      <c r="G208" t="s">
        <v>68</v>
      </c>
      <c r="H208" s="26">
        <v>146233.73000000001</v>
      </c>
      <c r="I208" s="27">
        <v>1.00101</v>
      </c>
      <c r="J208" t="s">
        <v>65</v>
      </c>
      <c r="K208" t="s">
        <v>86</v>
      </c>
    </row>
    <row r="209" spans="1:11" x14ac:dyDescent="0.35">
      <c r="A209" s="26">
        <v>785970</v>
      </c>
      <c r="B209" s="27">
        <v>2881295</v>
      </c>
      <c r="C209" t="s">
        <v>473</v>
      </c>
      <c r="D209" t="s">
        <v>116</v>
      </c>
      <c r="E209" t="s">
        <v>147</v>
      </c>
      <c r="F209" s="26">
        <v>49</v>
      </c>
      <c r="G209" t="s">
        <v>68</v>
      </c>
      <c r="H209" s="26">
        <v>51924</v>
      </c>
      <c r="I209" s="27">
        <v>1.0010399999999999</v>
      </c>
      <c r="J209" t="s">
        <v>65</v>
      </c>
      <c r="K209" t="s">
        <v>86</v>
      </c>
    </row>
    <row r="210" spans="1:11" x14ac:dyDescent="0.35">
      <c r="A210" s="26">
        <v>785968</v>
      </c>
      <c r="B210" s="27">
        <v>2881305</v>
      </c>
      <c r="C210" t="s">
        <v>1438</v>
      </c>
      <c r="D210" t="s">
        <v>116</v>
      </c>
      <c r="E210" t="s">
        <v>231</v>
      </c>
      <c r="F210" s="26">
        <v>10451</v>
      </c>
      <c r="G210" t="s">
        <v>79</v>
      </c>
      <c r="H210" s="26">
        <v>400</v>
      </c>
      <c r="I210" s="27">
        <v>1.0740099999999999</v>
      </c>
      <c r="J210" t="s">
        <v>65</v>
      </c>
      <c r="K210" t="s">
        <v>105</v>
      </c>
    </row>
    <row r="211" spans="1:11" x14ac:dyDescent="0.35">
      <c r="A211" s="26">
        <v>785967</v>
      </c>
      <c r="B211" s="27">
        <v>2881279</v>
      </c>
      <c r="C211" t="s">
        <v>1438</v>
      </c>
      <c r="D211" t="s">
        <v>116</v>
      </c>
      <c r="E211" t="s">
        <v>1439</v>
      </c>
      <c r="F211" s="26">
        <v>10449</v>
      </c>
      <c r="G211" t="s">
        <v>79</v>
      </c>
      <c r="H211" s="26">
        <v>2762.41</v>
      </c>
      <c r="I211" s="27">
        <v>1.0740099999999999</v>
      </c>
      <c r="J211" t="s">
        <v>65</v>
      </c>
      <c r="K211" t="s">
        <v>105</v>
      </c>
    </row>
    <row r="212" spans="1:11" x14ac:dyDescent="0.35">
      <c r="A212" s="26">
        <v>785965</v>
      </c>
      <c r="B212" s="27">
        <v>2881277</v>
      </c>
      <c r="C212" t="s">
        <v>1436</v>
      </c>
      <c r="D212" t="s">
        <v>116</v>
      </c>
      <c r="E212" t="s">
        <v>249</v>
      </c>
      <c r="F212" s="26">
        <v>922728</v>
      </c>
      <c r="G212" t="s">
        <v>68</v>
      </c>
      <c r="H212" s="26">
        <v>18574.02</v>
      </c>
      <c r="I212" s="27">
        <v>1.00101</v>
      </c>
      <c r="J212" t="s">
        <v>65</v>
      </c>
      <c r="K212" t="s">
        <v>86</v>
      </c>
    </row>
    <row r="213" spans="1:11" x14ac:dyDescent="0.35">
      <c r="A213" s="26">
        <v>785964</v>
      </c>
      <c r="B213" s="27">
        <v>2881276</v>
      </c>
      <c r="C213" t="s">
        <v>1440</v>
      </c>
      <c r="D213" t="s">
        <v>116</v>
      </c>
      <c r="E213" t="s">
        <v>1437</v>
      </c>
      <c r="F213" s="26">
        <v>3850025</v>
      </c>
      <c r="G213" t="s">
        <v>68</v>
      </c>
      <c r="H213" s="26">
        <v>60645.33</v>
      </c>
      <c r="I213" s="27">
        <v>1.00101</v>
      </c>
      <c r="J213" t="s">
        <v>65</v>
      </c>
      <c r="K213" t="s">
        <v>86</v>
      </c>
    </row>
    <row r="214" spans="1:11" x14ac:dyDescent="0.35">
      <c r="A214" s="26">
        <v>785934</v>
      </c>
      <c r="B214" s="27">
        <v>2881206</v>
      </c>
      <c r="C214" t="s">
        <v>1441</v>
      </c>
      <c r="D214" t="s">
        <v>129</v>
      </c>
      <c r="E214" t="s">
        <v>255</v>
      </c>
      <c r="F214" s="26">
        <v>356341</v>
      </c>
      <c r="G214" t="s">
        <v>68</v>
      </c>
      <c r="H214" s="26">
        <v>50088.39</v>
      </c>
      <c r="I214" s="27">
        <v>1.07602</v>
      </c>
      <c r="J214" t="s">
        <v>65</v>
      </c>
      <c r="K214" t="s">
        <v>77</v>
      </c>
    </row>
    <row r="215" spans="1:11" x14ac:dyDescent="0.35">
      <c r="A215" s="26">
        <v>785872</v>
      </c>
      <c r="B215" s="27">
        <v>2880802</v>
      </c>
      <c r="C215" t="s">
        <v>1442</v>
      </c>
      <c r="D215" t="s">
        <v>139</v>
      </c>
      <c r="E215" t="s">
        <v>237</v>
      </c>
      <c r="F215" s="26">
        <v>1138</v>
      </c>
      <c r="G215" t="s">
        <v>68</v>
      </c>
      <c r="H215" s="26">
        <v>12000</v>
      </c>
      <c r="I215" s="27">
        <v>1.0480100000000001</v>
      </c>
      <c r="J215" t="s">
        <v>65</v>
      </c>
      <c r="K215" t="s">
        <v>75</v>
      </c>
    </row>
    <row r="216" spans="1:11" x14ac:dyDescent="0.35">
      <c r="A216" s="26">
        <v>785855</v>
      </c>
      <c r="B216" s="27">
        <v>2880604</v>
      </c>
      <c r="C216" t="s">
        <v>1443</v>
      </c>
      <c r="D216" t="s">
        <v>116</v>
      </c>
      <c r="E216" t="s">
        <v>244</v>
      </c>
      <c r="F216" s="26">
        <v>45457</v>
      </c>
      <c r="G216" t="s">
        <v>79</v>
      </c>
      <c r="H216" s="26">
        <v>528</v>
      </c>
      <c r="I216" s="27">
        <v>1.01101</v>
      </c>
      <c r="J216" t="s">
        <v>76</v>
      </c>
      <c r="K216" t="s">
        <v>1382</v>
      </c>
    </row>
    <row r="217" spans="1:11" x14ac:dyDescent="0.35">
      <c r="A217" s="26">
        <v>785842</v>
      </c>
      <c r="B217" s="27">
        <v>2880390</v>
      </c>
      <c r="C217" t="s">
        <v>253</v>
      </c>
      <c r="D217" t="s">
        <v>129</v>
      </c>
      <c r="E217" t="s">
        <v>237</v>
      </c>
      <c r="F217" s="26">
        <v>10830</v>
      </c>
      <c r="G217" t="s">
        <v>68</v>
      </c>
      <c r="H217" s="26">
        <v>6178.73</v>
      </c>
      <c r="I217" s="27">
        <v>1.0010399999999999</v>
      </c>
      <c r="J217" t="s">
        <v>65</v>
      </c>
      <c r="K217" t="s">
        <v>86</v>
      </c>
    </row>
    <row r="218" spans="1:11" x14ac:dyDescent="0.35">
      <c r="A218" s="26">
        <v>785841</v>
      </c>
      <c r="B218" s="27">
        <v>2880583</v>
      </c>
      <c r="C218" t="s">
        <v>253</v>
      </c>
      <c r="D218" t="s">
        <v>129</v>
      </c>
      <c r="E218" t="s">
        <v>237</v>
      </c>
      <c r="F218" s="26">
        <v>10829</v>
      </c>
      <c r="G218" t="s">
        <v>68</v>
      </c>
      <c r="H218" s="26">
        <v>5014.18</v>
      </c>
      <c r="I218" s="27">
        <v>1.0010399999999999</v>
      </c>
      <c r="J218" t="s">
        <v>65</v>
      </c>
      <c r="K218" t="s">
        <v>86</v>
      </c>
    </row>
    <row r="219" spans="1:11" x14ac:dyDescent="0.35">
      <c r="A219" s="26">
        <v>785836</v>
      </c>
      <c r="B219" s="27">
        <v>2880326</v>
      </c>
      <c r="C219" t="s">
        <v>1441</v>
      </c>
      <c r="D219" t="s">
        <v>129</v>
      </c>
      <c r="E219" t="s">
        <v>255</v>
      </c>
      <c r="F219" s="26">
        <v>356424</v>
      </c>
      <c r="G219" t="s">
        <v>68</v>
      </c>
      <c r="H219" s="26">
        <v>27466.06</v>
      </c>
      <c r="I219" s="27">
        <v>1.07603</v>
      </c>
      <c r="J219" t="s">
        <v>65</v>
      </c>
      <c r="K219" t="s">
        <v>77</v>
      </c>
    </row>
    <row r="220" spans="1:11" x14ac:dyDescent="0.35">
      <c r="A220" s="26">
        <v>785728</v>
      </c>
      <c r="B220" s="27">
        <v>2879733</v>
      </c>
      <c r="C220" t="s">
        <v>1444</v>
      </c>
      <c r="D220" t="s">
        <v>129</v>
      </c>
      <c r="E220" t="s">
        <v>147</v>
      </c>
      <c r="F220" s="26">
        <v>4991</v>
      </c>
      <c r="G220" t="s">
        <v>79</v>
      </c>
      <c r="H220" s="26">
        <v>1935.36</v>
      </c>
      <c r="I220" s="27">
        <v>1.0740099999999999</v>
      </c>
      <c r="J220" t="s">
        <v>76</v>
      </c>
      <c r="K220" t="s">
        <v>105</v>
      </c>
    </row>
    <row r="221" spans="1:11" x14ac:dyDescent="0.35">
      <c r="A221" s="26">
        <v>785255</v>
      </c>
      <c r="B221" s="27">
        <v>2879680</v>
      </c>
      <c r="C221" t="s">
        <v>118</v>
      </c>
      <c r="D221" t="s">
        <v>129</v>
      </c>
      <c r="E221" t="s">
        <v>152</v>
      </c>
      <c r="F221" s="26">
        <v>415045</v>
      </c>
      <c r="G221" t="s">
        <v>416</v>
      </c>
      <c r="H221" s="26">
        <v>978.53</v>
      </c>
      <c r="I221" s="27">
        <v>1.02901</v>
      </c>
      <c r="J221" t="s">
        <v>76</v>
      </c>
      <c r="K221" t="s">
        <v>119</v>
      </c>
    </row>
    <row r="222" spans="1:11" x14ac:dyDescent="0.35">
      <c r="A222" s="26">
        <v>784653</v>
      </c>
      <c r="B222" s="27">
        <v>2879138</v>
      </c>
      <c r="C222" t="s">
        <v>649</v>
      </c>
      <c r="D222" t="s">
        <v>129</v>
      </c>
      <c r="E222" t="s">
        <v>650</v>
      </c>
      <c r="F222" s="26">
        <v>7501</v>
      </c>
      <c r="G222" t="s">
        <v>79</v>
      </c>
      <c r="H222" s="26">
        <v>4881.4799999999996</v>
      </c>
      <c r="I222" s="27">
        <v>1.07602</v>
      </c>
      <c r="J222" t="s">
        <v>65</v>
      </c>
      <c r="K222" t="s">
        <v>77</v>
      </c>
    </row>
    <row r="223" spans="1:11" x14ac:dyDescent="0.35">
      <c r="A223" s="26">
        <v>784489</v>
      </c>
      <c r="B223" s="27">
        <v>2877976</v>
      </c>
      <c r="C223" t="s">
        <v>1445</v>
      </c>
      <c r="D223" t="s">
        <v>129</v>
      </c>
      <c r="E223" t="s">
        <v>147</v>
      </c>
      <c r="F223" s="26">
        <v>231</v>
      </c>
      <c r="G223" t="s">
        <v>68</v>
      </c>
      <c r="H223" s="26">
        <v>124500</v>
      </c>
      <c r="I223" s="27">
        <v>1.0480100000000001</v>
      </c>
      <c r="J223" t="s">
        <v>65</v>
      </c>
      <c r="K223" t="s">
        <v>75</v>
      </c>
    </row>
    <row r="224" spans="1:11" x14ac:dyDescent="0.35">
      <c r="A224" s="26">
        <v>784216</v>
      </c>
      <c r="B224" s="27">
        <v>2892184</v>
      </c>
      <c r="C224" t="s">
        <v>1446</v>
      </c>
      <c r="D224" t="s">
        <v>139</v>
      </c>
      <c r="E224" t="s">
        <v>237</v>
      </c>
      <c r="F224" s="26">
        <v>933754</v>
      </c>
      <c r="G224" t="s">
        <v>79</v>
      </c>
      <c r="H224" s="26">
        <v>2585</v>
      </c>
      <c r="I224" s="27">
        <v>1.0740099999999999</v>
      </c>
      <c r="J224" t="s">
        <v>76</v>
      </c>
      <c r="K224" t="s">
        <v>105</v>
      </c>
    </row>
    <row r="225" spans="1:11" x14ac:dyDescent="0.35">
      <c r="A225" s="26">
        <v>784182</v>
      </c>
      <c r="B225" s="27">
        <v>2890916</v>
      </c>
      <c r="C225" t="s">
        <v>1447</v>
      </c>
      <c r="D225" t="s">
        <v>139</v>
      </c>
      <c r="E225" t="s">
        <v>237</v>
      </c>
      <c r="F225" s="26">
        <v>3576</v>
      </c>
      <c r="G225" t="s">
        <v>68</v>
      </c>
      <c r="H225" s="26">
        <v>15260</v>
      </c>
      <c r="I225" s="27">
        <v>1.0740099999999999</v>
      </c>
      <c r="J225" t="s">
        <v>76</v>
      </c>
      <c r="K225" t="s">
        <v>105</v>
      </c>
    </row>
    <row r="226" spans="1:11" x14ac:dyDescent="0.35">
      <c r="A226" s="26">
        <v>783517</v>
      </c>
      <c r="B226" s="27">
        <v>2876636</v>
      </c>
      <c r="C226" t="s">
        <v>1448</v>
      </c>
      <c r="D226" t="s">
        <v>139</v>
      </c>
      <c r="E226" t="s">
        <v>230</v>
      </c>
      <c r="F226" s="26">
        <v>229252</v>
      </c>
      <c r="G226" t="s">
        <v>68</v>
      </c>
      <c r="H226" s="26">
        <v>38619.01</v>
      </c>
      <c r="I226" s="27">
        <v>1.0480100000000001</v>
      </c>
      <c r="J226" t="s">
        <v>76</v>
      </c>
      <c r="K226" t="s">
        <v>75</v>
      </c>
    </row>
    <row r="227" spans="1:11" x14ac:dyDescent="0.35">
      <c r="A227" s="26">
        <v>783409</v>
      </c>
      <c r="B227" s="27">
        <v>2876613</v>
      </c>
      <c r="C227" t="s">
        <v>118</v>
      </c>
      <c r="D227" t="s">
        <v>139</v>
      </c>
      <c r="E227" t="s">
        <v>230</v>
      </c>
      <c r="F227" s="26">
        <v>414914</v>
      </c>
      <c r="G227" t="s">
        <v>416</v>
      </c>
      <c r="H227" s="26">
        <v>765.9</v>
      </c>
      <c r="I227" s="27">
        <v>1.02901</v>
      </c>
      <c r="J227" t="s">
        <v>76</v>
      </c>
      <c r="K227" t="s">
        <v>119</v>
      </c>
    </row>
    <row r="228" spans="1:11" x14ac:dyDescent="0.35">
      <c r="A228" s="26">
        <v>783170</v>
      </c>
      <c r="B228" s="27">
        <v>2876157</v>
      </c>
      <c r="C228" t="s">
        <v>644</v>
      </c>
      <c r="D228" t="s">
        <v>139</v>
      </c>
      <c r="E228" t="s">
        <v>237</v>
      </c>
      <c r="F228" s="26">
        <v>1570</v>
      </c>
      <c r="G228" t="s">
        <v>83</v>
      </c>
      <c r="H228" s="26">
        <v>667</v>
      </c>
      <c r="I228" s="27">
        <v>1.0860399999999999</v>
      </c>
      <c r="J228" t="s">
        <v>76</v>
      </c>
      <c r="K228" t="s">
        <v>151</v>
      </c>
    </row>
    <row r="229" spans="1:11" x14ac:dyDescent="0.35">
      <c r="A229" s="26">
        <v>783167</v>
      </c>
      <c r="B229" s="27">
        <v>2876350</v>
      </c>
      <c r="C229" t="s">
        <v>258</v>
      </c>
      <c r="D229" t="s">
        <v>135</v>
      </c>
      <c r="E229" t="s">
        <v>152</v>
      </c>
      <c r="F229" s="26">
        <v>2024127</v>
      </c>
      <c r="G229" t="s">
        <v>68</v>
      </c>
      <c r="H229" s="26">
        <v>2206.71</v>
      </c>
      <c r="I229" s="27">
        <v>1.03301</v>
      </c>
      <c r="J229" t="s">
        <v>65</v>
      </c>
      <c r="K229" t="s">
        <v>1342</v>
      </c>
    </row>
    <row r="230" spans="1:11" x14ac:dyDescent="0.35">
      <c r="A230" s="26">
        <v>783152</v>
      </c>
      <c r="B230" s="27">
        <v>2875980</v>
      </c>
      <c r="C230" t="s">
        <v>258</v>
      </c>
      <c r="D230" t="s">
        <v>135</v>
      </c>
      <c r="E230" t="s">
        <v>152</v>
      </c>
      <c r="F230" s="26">
        <v>2024118</v>
      </c>
      <c r="G230" t="s">
        <v>68</v>
      </c>
      <c r="H230" s="26">
        <v>2206.7399999999998</v>
      </c>
      <c r="I230" s="27">
        <v>1.01101</v>
      </c>
      <c r="J230" t="s">
        <v>65</v>
      </c>
      <c r="K230" t="s">
        <v>1382</v>
      </c>
    </row>
    <row r="231" spans="1:11" x14ac:dyDescent="0.35">
      <c r="A231" s="26">
        <v>783134</v>
      </c>
      <c r="B231" s="27">
        <v>2875987</v>
      </c>
      <c r="C231" t="s">
        <v>441</v>
      </c>
      <c r="D231" t="s">
        <v>139</v>
      </c>
      <c r="E231" t="s">
        <v>237</v>
      </c>
      <c r="F231" s="26">
        <v>350</v>
      </c>
      <c r="G231" t="s">
        <v>79</v>
      </c>
      <c r="H231" s="26">
        <v>2125</v>
      </c>
      <c r="I231" s="27">
        <v>1.0900099999999999</v>
      </c>
      <c r="J231" t="s">
        <v>65</v>
      </c>
      <c r="K231" t="s">
        <v>72</v>
      </c>
    </row>
    <row r="232" spans="1:11" x14ac:dyDescent="0.35">
      <c r="A232" s="26">
        <v>782986</v>
      </c>
      <c r="B232" s="27">
        <v>2875567</v>
      </c>
      <c r="C232" t="s">
        <v>243</v>
      </c>
      <c r="D232" t="s">
        <v>139</v>
      </c>
      <c r="E232" t="s">
        <v>152</v>
      </c>
      <c r="F232" s="26">
        <v>2024202</v>
      </c>
      <c r="G232" t="s">
        <v>68</v>
      </c>
      <c r="H232" s="26">
        <v>11500</v>
      </c>
      <c r="I232" s="27">
        <v>1.0010399999999999</v>
      </c>
      <c r="J232" t="s">
        <v>65</v>
      </c>
      <c r="K232" t="s">
        <v>86</v>
      </c>
    </row>
    <row r="233" spans="1:11" x14ac:dyDescent="0.35">
      <c r="A233" s="26">
        <v>782734</v>
      </c>
      <c r="B233" s="27">
        <v>2874856</v>
      </c>
      <c r="C233" t="s">
        <v>150</v>
      </c>
      <c r="D233" t="s">
        <v>135</v>
      </c>
      <c r="E233" t="s">
        <v>147</v>
      </c>
      <c r="F233" s="26">
        <v>31488</v>
      </c>
      <c r="G233" t="s">
        <v>79</v>
      </c>
      <c r="H233" s="26">
        <v>650</v>
      </c>
      <c r="I233" s="27">
        <v>1.01101</v>
      </c>
      <c r="J233" t="s">
        <v>65</v>
      </c>
      <c r="K233" t="s">
        <v>1382</v>
      </c>
    </row>
    <row r="234" spans="1:11" x14ac:dyDescent="0.35">
      <c r="A234" s="26">
        <v>782570</v>
      </c>
      <c r="B234" s="27">
        <v>2873816</v>
      </c>
      <c r="C234" t="s">
        <v>1449</v>
      </c>
      <c r="D234" t="s">
        <v>139</v>
      </c>
      <c r="E234" t="s">
        <v>230</v>
      </c>
      <c r="F234" s="26">
        <v>11057</v>
      </c>
      <c r="G234" t="s">
        <v>68</v>
      </c>
      <c r="H234" s="26">
        <v>1260</v>
      </c>
      <c r="I234" s="27">
        <v>1.0740099999999999</v>
      </c>
      <c r="J234" t="s">
        <v>76</v>
      </c>
      <c r="K234" t="s">
        <v>105</v>
      </c>
    </row>
    <row r="235" spans="1:11" x14ac:dyDescent="0.35">
      <c r="A235" s="26">
        <v>782364</v>
      </c>
      <c r="B235" s="27">
        <v>2873240</v>
      </c>
      <c r="C235" t="s">
        <v>235</v>
      </c>
      <c r="D235" t="s">
        <v>135</v>
      </c>
      <c r="E235" t="s">
        <v>263</v>
      </c>
      <c r="F235" s="26">
        <v>438639</v>
      </c>
      <c r="G235" t="s">
        <v>1339</v>
      </c>
      <c r="H235" s="26">
        <v>1039.93</v>
      </c>
      <c r="I235" s="27">
        <v>1.0740099999999999</v>
      </c>
      <c r="J235" t="s">
        <v>76</v>
      </c>
      <c r="K235" t="s">
        <v>105</v>
      </c>
    </row>
    <row r="236" spans="1:11" x14ac:dyDescent="0.35">
      <c r="A236"/>
      <c r="B236" s="2"/>
      <c r="C236"/>
      <c r="D236"/>
      <c r="E236"/>
      <c r="F236"/>
      <c r="G236"/>
      <c r="H236"/>
      <c r="I236"/>
      <c r="J236"/>
      <c r="K236"/>
    </row>
    <row r="237" spans="1:11" x14ac:dyDescent="0.35">
      <c r="A237"/>
      <c r="B237" s="2"/>
      <c r="C237"/>
      <c r="D237"/>
      <c r="E237"/>
      <c r="F237"/>
      <c r="G237"/>
      <c r="H237"/>
      <c r="I237"/>
      <c r="J237"/>
      <c r="K237"/>
    </row>
    <row r="238" spans="1:11" x14ac:dyDescent="0.35">
      <c r="A238"/>
      <c r="B238" s="2"/>
      <c r="C238"/>
      <c r="D238"/>
      <c r="E238"/>
      <c r="F238"/>
      <c r="G238"/>
      <c r="H238"/>
      <c r="I238"/>
      <c r="J238"/>
      <c r="K238"/>
    </row>
    <row r="239" spans="1:11" x14ac:dyDescent="0.35">
      <c r="A239"/>
      <c r="B239" s="2"/>
      <c r="C239"/>
      <c r="D239"/>
      <c r="E239"/>
      <c r="F239"/>
      <c r="G239"/>
      <c r="H239"/>
      <c r="I239"/>
      <c r="J239"/>
      <c r="K239"/>
    </row>
    <row r="240" spans="1:11" x14ac:dyDescent="0.35">
      <c r="A240"/>
      <c r="B240" s="2"/>
      <c r="C240"/>
      <c r="D240"/>
      <c r="E240"/>
      <c r="F240"/>
      <c r="G240"/>
      <c r="H240"/>
      <c r="I240"/>
      <c r="J240"/>
      <c r="K240"/>
    </row>
    <row r="241" spans="2:2" customFormat="1" x14ac:dyDescent="0.35">
      <c r="B241" s="2"/>
    </row>
    <row r="242" spans="2:2" customFormat="1" x14ac:dyDescent="0.35">
      <c r="B242" s="2"/>
    </row>
    <row r="243" spans="2:2" customFormat="1" x14ac:dyDescent="0.35">
      <c r="B243" s="2"/>
    </row>
    <row r="244" spans="2:2" customFormat="1" x14ac:dyDescent="0.35">
      <c r="B244" s="2"/>
    </row>
    <row r="245" spans="2:2" customFormat="1" x14ac:dyDescent="0.35">
      <c r="B245" s="2"/>
    </row>
    <row r="246" spans="2:2" customFormat="1" x14ac:dyDescent="0.35">
      <c r="B246" s="2"/>
    </row>
    <row r="247" spans="2:2" customFormat="1" x14ac:dyDescent="0.35">
      <c r="B247" s="2"/>
    </row>
    <row r="248" spans="2:2" customFormat="1" x14ac:dyDescent="0.35">
      <c r="B248" s="2"/>
    </row>
    <row r="249" spans="2:2" customFormat="1" x14ac:dyDescent="0.35">
      <c r="B249" s="2"/>
    </row>
    <row r="250" spans="2:2" customFormat="1" x14ac:dyDescent="0.35">
      <c r="B250" s="2"/>
    </row>
    <row r="251" spans="2:2" customFormat="1" x14ac:dyDescent="0.35">
      <c r="B251" s="2"/>
    </row>
    <row r="252" spans="2:2" customFormat="1" x14ac:dyDescent="0.35">
      <c r="B252" s="2"/>
    </row>
    <row r="253" spans="2:2" customFormat="1" x14ac:dyDescent="0.35">
      <c r="B253" s="2"/>
    </row>
    <row r="254" spans="2:2" customFormat="1" x14ac:dyDescent="0.35">
      <c r="B254" s="2"/>
    </row>
    <row r="255" spans="2:2" customFormat="1" x14ac:dyDescent="0.35">
      <c r="B255" s="2"/>
    </row>
    <row r="256" spans="2:2" customFormat="1" x14ac:dyDescent="0.35">
      <c r="B256" s="2"/>
    </row>
    <row r="257" spans="2:2" customFormat="1" x14ac:dyDescent="0.35">
      <c r="B257" s="2"/>
    </row>
    <row r="258" spans="2:2" customFormat="1" x14ac:dyDescent="0.35">
      <c r="B258" s="2"/>
    </row>
    <row r="259" spans="2:2" customFormat="1" x14ac:dyDescent="0.35">
      <c r="B259" s="2"/>
    </row>
    <row r="260" spans="2:2" customFormat="1" x14ac:dyDescent="0.35">
      <c r="B260" s="2"/>
    </row>
    <row r="261" spans="2:2" customFormat="1" x14ac:dyDescent="0.35">
      <c r="B261" s="2"/>
    </row>
    <row r="262" spans="2:2" customFormat="1" x14ac:dyDescent="0.35">
      <c r="B262" s="2"/>
    </row>
    <row r="263" spans="2:2" customFormat="1" x14ac:dyDescent="0.35">
      <c r="B263" s="2"/>
    </row>
    <row r="264" spans="2:2" customFormat="1" x14ac:dyDescent="0.35">
      <c r="B264" s="2"/>
    </row>
    <row r="265" spans="2:2" customFormat="1" x14ac:dyDescent="0.35">
      <c r="B265" s="2"/>
    </row>
    <row r="266" spans="2:2" customFormat="1" x14ac:dyDescent="0.35">
      <c r="B266" s="2"/>
    </row>
    <row r="267" spans="2:2" customFormat="1" x14ac:dyDescent="0.35">
      <c r="B267" s="2"/>
    </row>
    <row r="268" spans="2:2" customFormat="1" x14ac:dyDescent="0.35">
      <c r="B268" s="2"/>
    </row>
    <row r="269" spans="2:2" customFormat="1" x14ac:dyDescent="0.35">
      <c r="B269" s="2"/>
    </row>
    <row r="270" spans="2:2" customFormat="1" x14ac:dyDescent="0.35">
      <c r="B270" s="2"/>
    </row>
    <row r="271" spans="2:2" customFormat="1" x14ac:dyDescent="0.35">
      <c r="B271" s="2"/>
    </row>
    <row r="272" spans="2:2" customFormat="1" x14ac:dyDescent="0.35">
      <c r="B272" s="2"/>
    </row>
    <row r="273" spans="2:2" customFormat="1" x14ac:dyDescent="0.35">
      <c r="B273" s="2"/>
    </row>
    <row r="274" spans="2:2" customFormat="1" x14ac:dyDescent="0.35">
      <c r="B274" s="2"/>
    </row>
    <row r="275" spans="2:2" customFormat="1" x14ac:dyDescent="0.35">
      <c r="B275" s="2"/>
    </row>
    <row r="276" spans="2:2" customFormat="1" x14ac:dyDescent="0.35">
      <c r="B276" s="2"/>
    </row>
    <row r="277" spans="2:2" customFormat="1" x14ac:dyDescent="0.35">
      <c r="B277" s="2"/>
    </row>
    <row r="278" spans="2:2" customFormat="1" x14ac:dyDescent="0.35">
      <c r="B278" s="2"/>
    </row>
    <row r="279" spans="2:2" customFormat="1" x14ac:dyDescent="0.35">
      <c r="B279" s="2"/>
    </row>
    <row r="280" spans="2:2" customFormat="1" x14ac:dyDescent="0.35">
      <c r="B280" s="2"/>
    </row>
    <row r="281" spans="2:2" customFormat="1" x14ac:dyDescent="0.35">
      <c r="B281" s="2"/>
    </row>
    <row r="282" spans="2:2" customFormat="1" x14ac:dyDescent="0.35">
      <c r="B282" s="2"/>
    </row>
    <row r="283" spans="2:2" customFormat="1" x14ac:dyDescent="0.35">
      <c r="B283" s="2"/>
    </row>
    <row r="284" spans="2:2" customFormat="1" x14ac:dyDescent="0.35">
      <c r="B284" s="2"/>
    </row>
    <row r="285" spans="2:2" customFormat="1" x14ac:dyDescent="0.35">
      <c r="B285" s="2"/>
    </row>
    <row r="286" spans="2:2" customFormat="1" x14ac:dyDescent="0.35">
      <c r="B286" s="2"/>
    </row>
    <row r="287" spans="2:2" customFormat="1" x14ac:dyDescent="0.35">
      <c r="B287" s="2"/>
    </row>
    <row r="288" spans="2:2" customFormat="1" x14ac:dyDescent="0.35">
      <c r="B288" s="2"/>
    </row>
    <row r="289" spans="2:2" customFormat="1" x14ac:dyDescent="0.35">
      <c r="B289" s="2"/>
    </row>
    <row r="290" spans="2:2" customFormat="1" x14ac:dyDescent="0.35">
      <c r="B290" s="2"/>
    </row>
    <row r="291" spans="2:2" customFormat="1" x14ac:dyDescent="0.35">
      <c r="B291" s="2"/>
    </row>
    <row r="292" spans="2:2" customFormat="1" x14ac:dyDescent="0.35">
      <c r="B292" s="2"/>
    </row>
    <row r="293" spans="2:2" customFormat="1" x14ac:dyDescent="0.35">
      <c r="B293" s="2"/>
    </row>
    <row r="294" spans="2:2" customFormat="1" x14ac:dyDescent="0.35">
      <c r="B294" s="2"/>
    </row>
    <row r="295" spans="2:2" customFormat="1" x14ac:dyDescent="0.35">
      <c r="B295" s="2"/>
    </row>
    <row r="296" spans="2:2" customFormat="1" x14ac:dyDescent="0.35">
      <c r="B296" s="2"/>
    </row>
    <row r="297" spans="2:2" customFormat="1" x14ac:dyDescent="0.35">
      <c r="B297" s="2"/>
    </row>
    <row r="298" spans="2:2" customFormat="1" x14ac:dyDescent="0.35">
      <c r="B298" s="2"/>
    </row>
    <row r="299" spans="2:2" customFormat="1" x14ac:dyDescent="0.35">
      <c r="B299" s="2"/>
    </row>
    <row r="300" spans="2:2" customFormat="1" x14ac:dyDescent="0.35">
      <c r="B300" s="2"/>
    </row>
    <row r="301" spans="2:2" customFormat="1" x14ac:dyDescent="0.35">
      <c r="B301" s="2"/>
    </row>
    <row r="302" spans="2:2" customFormat="1" x14ac:dyDescent="0.35">
      <c r="B302" s="2"/>
    </row>
    <row r="303" spans="2:2" customFormat="1" x14ac:dyDescent="0.35">
      <c r="B303" s="2"/>
    </row>
    <row r="304" spans="2:2" customFormat="1" x14ac:dyDescent="0.35">
      <c r="B304" s="2"/>
    </row>
    <row r="305" spans="2:2" customFormat="1" x14ac:dyDescent="0.35">
      <c r="B305" s="2"/>
    </row>
    <row r="306" spans="2:2" customFormat="1" x14ac:dyDescent="0.35">
      <c r="B306" s="2"/>
    </row>
    <row r="307" spans="2:2" customFormat="1" x14ac:dyDescent="0.35">
      <c r="B307" s="2"/>
    </row>
    <row r="308" spans="2:2" customFormat="1" x14ac:dyDescent="0.35">
      <c r="B308" s="2"/>
    </row>
    <row r="309" spans="2:2" customFormat="1" x14ac:dyDescent="0.35">
      <c r="B309" s="2"/>
    </row>
    <row r="310" spans="2:2" customFormat="1" x14ac:dyDescent="0.35">
      <c r="B310" s="2"/>
    </row>
    <row r="311" spans="2:2" customFormat="1" x14ac:dyDescent="0.35">
      <c r="B311" s="2"/>
    </row>
    <row r="312" spans="2:2" customFormat="1" x14ac:dyDescent="0.35">
      <c r="B312" s="2"/>
    </row>
    <row r="313" spans="2:2" customFormat="1" x14ac:dyDescent="0.35">
      <c r="B313" s="2"/>
    </row>
    <row r="314" spans="2:2" customFormat="1" x14ac:dyDescent="0.35">
      <c r="B314" s="2"/>
    </row>
    <row r="315" spans="2:2" customFormat="1" x14ac:dyDescent="0.35">
      <c r="B315" s="2"/>
    </row>
    <row r="316" spans="2:2" customFormat="1" x14ac:dyDescent="0.35">
      <c r="B316" s="2"/>
    </row>
    <row r="317" spans="2:2" customFormat="1" x14ac:dyDescent="0.35">
      <c r="B317" s="2"/>
    </row>
    <row r="318" spans="2:2" customFormat="1" x14ac:dyDescent="0.35">
      <c r="B318" s="2"/>
    </row>
    <row r="319" spans="2:2" customFormat="1" x14ac:dyDescent="0.35">
      <c r="B319" s="2"/>
    </row>
    <row r="320" spans="2:2" customFormat="1" x14ac:dyDescent="0.35">
      <c r="B320" s="2"/>
    </row>
    <row r="321" spans="2:2" customFormat="1" x14ac:dyDescent="0.35">
      <c r="B321" s="2"/>
    </row>
    <row r="322" spans="2:2" customFormat="1" x14ac:dyDescent="0.35">
      <c r="B322" s="2"/>
    </row>
    <row r="323" spans="2:2" customFormat="1" x14ac:dyDescent="0.35">
      <c r="B323" s="2"/>
    </row>
    <row r="324" spans="2:2" customFormat="1" x14ac:dyDescent="0.35">
      <c r="B324" s="2"/>
    </row>
    <row r="325" spans="2:2" customFormat="1" x14ac:dyDescent="0.35">
      <c r="B325" s="2"/>
    </row>
    <row r="326" spans="2:2" customFormat="1" x14ac:dyDescent="0.35">
      <c r="B326" s="2"/>
    </row>
    <row r="327" spans="2:2" customFormat="1" x14ac:dyDescent="0.35">
      <c r="B327" s="2"/>
    </row>
    <row r="328" spans="2:2" customFormat="1" x14ac:dyDescent="0.35">
      <c r="B328" s="2"/>
    </row>
    <row r="329" spans="2:2" customFormat="1" x14ac:dyDescent="0.35">
      <c r="B329" s="2"/>
    </row>
    <row r="330" spans="2:2" customFormat="1" x14ac:dyDescent="0.35">
      <c r="B330" s="2"/>
    </row>
    <row r="331" spans="2:2" customFormat="1" x14ac:dyDescent="0.35">
      <c r="B331" s="2"/>
    </row>
    <row r="332" spans="2:2" customFormat="1" x14ac:dyDescent="0.35">
      <c r="B332" s="2"/>
    </row>
    <row r="333" spans="2:2" customFormat="1" x14ac:dyDescent="0.35">
      <c r="B333" s="2"/>
    </row>
    <row r="334" spans="2:2" customFormat="1" x14ac:dyDescent="0.35">
      <c r="B334" s="2"/>
    </row>
    <row r="335" spans="2:2" customFormat="1" x14ac:dyDescent="0.35">
      <c r="B335" s="2"/>
    </row>
    <row r="336" spans="2:2" customFormat="1" x14ac:dyDescent="0.35">
      <c r="B336" s="2"/>
    </row>
    <row r="337" spans="2:2" customFormat="1" x14ac:dyDescent="0.35">
      <c r="B337" s="2"/>
    </row>
    <row r="338" spans="2:2" customFormat="1" x14ac:dyDescent="0.35">
      <c r="B338" s="2"/>
    </row>
    <row r="339" spans="2:2" customFormat="1" x14ac:dyDescent="0.35">
      <c r="B339" s="2"/>
    </row>
    <row r="340" spans="2:2" customFormat="1" x14ac:dyDescent="0.35">
      <c r="B340" s="2"/>
    </row>
    <row r="341" spans="2:2" customFormat="1" x14ac:dyDescent="0.35">
      <c r="B341" s="2"/>
    </row>
    <row r="342" spans="2:2" customFormat="1" x14ac:dyDescent="0.35">
      <c r="B342" s="2"/>
    </row>
    <row r="343" spans="2:2" customFormat="1" x14ac:dyDescent="0.35">
      <c r="B343" s="2"/>
    </row>
    <row r="344" spans="2:2" customFormat="1" x14ac:dyDescent="0.35">
      <c r="B344" s="2"/>
    </row>
    <row r="345" spans="2:2" customFormat="1" x14ac:dyDescent="0.35">
      <c r="B345" s="2"/>
    </row>
    <row r="346" spans="2:2" customFormat="1" x14ac:dyDescent="0.35">
      <c r="B346" s="2"/>
    </row>
    <row r="347" spans="2:2" customFormat="1" x14ac:dyDescent="0.35">
      <c r="B347" s="2"/>
    </row>
    <row r="348" spans="2:2" customFormat="1" x14ac:dyDescent="0.35">
      <c r="B348" s="2"/>
    </row>
    <row r="349" spans="2:2" customFormat="1" x14ac:dyDescent="0.35">
      <c r="B349" s="2"/>
    </row>
    <row r="350" spans="2:2" customFormat="1" x14ac:dyDescent="0.35">
      <c r="B350" s="2"/>
    </row>
    <row r="351" spans="2:2" customFormat="1" x14ac:dyDescent="0.35">
      <c r="B351" s="2"/>
    </row>
    <row r="352" spans="2:2" customFormat="1" x14ac:dyDescent="0.35">
      <c r="B352" s="2"/>
    </row>
    <row r="353" spans="2:2" customFormat="1" x14ac:dyDescent="0.35">
      <c r="B353" s="2"/>
    </row>
    <row r="354" spans="2:2" customFormat="1" x14ac:dyDescent="0.35">
      <c r="B354" s="2"/>
    </row>
    <row r="355" spans="2:2" customFormat="1" x14ac:dyDescent="0.35">
      <c r="B355" s="2"/>
    </row>
    <row r="356" spans="2:2" customFormat="1" x14ac:dyDescent="0.35">
      <c r="B356" s="2"/>
    </row>
    <row r="357" spans="2:2" customFormat="1" x14ac:dyDescent="0.35">
      <c r="B357" s="2"/>
    </row>
    <row r="358" spans="2:2" customFormat="1" x14ac:dyDescent="0.35">
      <c r="B358" s="2"/>
    </row>
    <row r="359" spans="2:2" customFormat="1" x14ac:dyDescent="0.35">
      <c r="B359" s="2"/>
    </row>
    <row r="360" spans="2:2" customFormat="1" x14ac:dyDescent="0.35">
      <c r="B360" s="2"/>
    </row>
    <row r="361" spans="2:2" customFormat="1" x14ac:dyDescent="0.35">
      <c r="B361" s="2"/>
    </row>
    <row r="362" spans="2:2" customFormat="1" x14ac:dyDescent="0.35">
      <c r="B362" s="2"/>
    </row>
    <row r="363" spans="2:2" customFormat="1" x14ac:dyDescent="0.35">
      <c r="B363" s="2"/>
    </row>
    <row r="364" spans="2:2" customFormat="1" x14ac:dyDescent="0.35">
      <c r="B364" s="2"/>
    </row>
    <row r="365" spans="2:2" customFormat="1" x14ac:dyDescent="0.35">
      <c r="B365" s="2"/>
    </row>
    <row r="366" spans="2:2" customFormat="1" x14ac:dyDescent="0.35">
      <c r="B366" s="2"/>
    </row>
    <row r="367" spans="2:2" customFormat="1" x14ac:dyDescent="0.35">
      <c r="B367" s="2"/>
    </row>
    <row r="368" spans="2:2" customFormat="1" x14ac:dyDescent="0.35">
      <c r="B368" s="2"/>
    </row>
    <row r="369" spans="2:2" customFormat="1" x14ac:dyDescent="0.35">
      <c r="B369" s="2"/>
    </row>
    <row r="370" spans="2:2" customFormat="1" x14ac:dyDescent="0.35">
      <c r="B370" s="2"/>
    </row>
    <row r="371" spans="2:2" customFormat="1" x14ac:dyDescent="0.35">
      <c r="B371" s="2"/>
    </row>
    <row r="372" spans="2:2" customFormat="1" x14ac:dyDescent="0.35">
      <c r="B372" s="2"/>
    </row>
    <row r="373" spans="2:2" customFormat="1" x14ac:dyDescent="0.35">
      <c r="B373" s="2"/>
    </row>
    <row r="374" spans="2:2" customFormat="1" x14ac:dyDescent="0.35">
      <c r="B374" s="2"/>
    </row>
    <row r="375" spans="2:2" customFormat="1" x14ac:dyDescent="0.35">
      <c r="B375" s="2"/>
    </row>
    <row r="376" spans="2:2" customFormat="1" x14ac:dyDescent="0.35">
      <c r="B376" s="2"/>
    </row>
    <row r="377" spans="2:2" customFormat="1" x14ac:dyDescent="0.35">
      <c r="B377" s="2"/>
    </row>
    <row r="378" spans="2:2" customFormat="1" x14ac:dyDescent="0.35">
      <c r="B378" s="2"/>
    </row>
    <row r="379" spans="2:2" customFormat="1" x14ac:dyDescent="0.35">
      <c r="B379" s="2"/>
    </row>
    <row r="380" spans="2:2" customFormat="1" x14ac:dyDescent="0.35">
      <c r="B380" s="2"/>
    </row>
    <row r="381" spans="2:2" customFormat="1" x14ac:dyDescent="0.35">
      <c r="B381" s="2"/>
    </row>
    <row r="382" spans="2:2" customFormat="1" x14ac:dyDescent="0.35">
      <c r="B382" s="2"/>
    </row>
    <row r="383" spans="2:2" customFormat="1" x14ac:dyDescent="0.35">
      <c r="B383" s="2"/>
    </row>
  </sheetData>
  <sortState xmlns:xlrd2="http://schemas.microsoft.com/office/spreadsheetml/2017/richdata2" ref="A2:K338">
    <sortCondition ref="C1:C338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22F66-3B6F-49D7-A063-02B63A1A962A}">
  <sheetPr codeName="Planilha3">
    <tabColor theme="8" tint="0.39997558519241921"/>
  </sheetPr>
  <dimension ref="A1:J389"/>
  <sheetViews>
    <sheetView tabSelected="1"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1" max="1" width="14.1796875" style="2" customWidth="1"/>
    <col min="2" max="2" width="28.6328125" customWidth="1"/>
    <col min="3" max="3" width="30.08984375" bestFit="1" customWidth="1"/>
    <col min="4" max="4" width="39" bestFit="1" customWidth="1"/>
    <col min="5" max="5" width="38.1796875" bestFit="1" customWidth="1"/>
    <col min="6" max="6" width="55.90625" bestFit="1" customWidth="1"/>
    <col min="7" max="7" width="12.1796875" customWidth="1"/>
    <col min="8" max="8" width="21.6328125" style="10" bestFit="1" customWidth="1"/>
    <col min="9" max="9" width="23.54296875" style="2" bestFit="1" customWidth="1"/>
    <col min="10" max="10" width="8.90625" style="13"/>
  </cols>
  <sheetData>
    <row r="1" spans="1:10" x14ac:dyDescent="0.35">
      <c r="A1" s="23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9" t="s">
        <v>20</v>
      </c>
      <c r="I1" s="11"/>
      <c r="J1" s="12"/>
    </row>
    <row r="2" spans="1:10" x14ac:dyDescent="0.35">
      <c r="A2" s="27">
        <v>2451525</v>
      </c>
      <c r="B2" t="s">
        <v>21</v>
      </c>
      <c r="C2" t="s">
        <v>22</v>
      </c>
      <c r="D2" t="s">
        <v>264</v>
      </c>
      <c r="E2" t="s">
        <v>803</v>
      </c>
      <c r="F2" t="s">
        <v>804</v>
      </c>
      <c r="G2" t="s">
        <v>805</v>
      </c>
      <c r="H2" t="s">
        <v>806</v>
      </c>
      <c r="I2" s="6" t="s">
        <v>141</v>
      </c>
      <c r="J2" s="13">
        <v>0.47604166666666664</v>
      </c>
    </row>
    <row r="3" spans="1:10" x14ac:dyDescent="0.35">
      <c r="A3" s="27">
        <v>2605120</v>
      </c>
      <c r="B3" t="s">
        <v>21</v>
      </c>
      <c r="C3" t="s">
        <v>22</v>
      </c>
      <c r="D3" t="s">
        <v>264</v>
      </c>
      <c r="E3" t="s">
        <v>803</v>
      </c>
      <c r="F3" t="s">
        <v>666</v>
      </c>
      <c r="G3" t="s">
        <v>133</v>
      </c>
      <c r="H3" t="s">
        <v>807</v>
      </c>
      <c r="I3" s="6" t="s">
        <v>141</v>
      </c>
      <c r="J3" s="13">
        <v>0.6253009259259259</v>
      </c>
    </row>
    <row r="4" spans="1:10" x14ac:dyDescent="0.35">
      <c r="A4" s="27">
        <v>2611147</v>
      </c>
      <c r="B4" t="s">
        <v>21</v>
      </c>
      <c r="C4" t="s">
        <v>22</v>
      </c>
      <c r="D4" t="s">
        <v>264</v>
      </c>
      <c r="E4" t="s">
        <v>803</v>
      </c>
      <c r="F4" t="s">
        <v>808</v>
      </c>
      <c r="G4" t="s">
        <v>98</v>
      </c>
      <c r="H4" t="s">
        <v>809</v>
      </c>
      <c r="I4" s="6" t="s">
        <v>141</v>
      </c>
      <c r="J4" s="13">
        <v>0.62604166666666672</v>
      </c>
    </row>
    <row r="5" spans="1:10" x14ac:dyDescent="0.35">
      <c r="A5" s="27">
        <v>2869986</v>
      </c>
      <c r="B5" t="s">
        <v>21</v>
      </c>
      <c r="C5" t="s">
        <v>22</v>
      </c>
      <c r="D5" t="s">
        <v>264</v>
      </c>
      <c r="E5" t="s">
        <v>803</v>
      </c>
      <c r="F5" t="s">
        <v>810</v>
      </c>
      <c r="G5" t="s">
        <v>135</v>
      </c>
      <c r="H5" t="s">
        <v>811</v>
      </c>
      <c r="I5" s="6" t="s">
        <v>141</v>
      </c>
      <c r="J5" s="13">
        <v>0.47341435185185188</v>
      </c>
    </row>
    <row r="6" spans="1:10" x14ac:dyDescent="0.35">
      <c r="A6" s="27">
        <v>2873018</v>
      </c>
      <c r="B6" t="s">
        <v>21</v>
      </c>
      <c r="C6" t="s">
        <v>22</v>
      </c>
      <c r="D6" t="s">
        <v>264</v>
      </c>
      <c r="E6" t="s">
        <v>803</v>
      </c>
      <c r="F6" t="s">
        <v>812</v>
      </c>
      <c r="G6" t="s">
        <v>135</v>
      </c>
      <c r="H6" t="s">
        <v>813</v>
      </c>
      <c r="I6" s="6" t="s">
        <v>141</v>
      </c>
      <c r="J6" s="13">
        <v>0.47350694444444447</v>
      </c>
    </row>
    <row r="7" spans="1:10" x14ac:dyDescent="0.35">
      <c r="A7" s="27">
        <v>2873884</v>
      </c>
      <c r="B7" t="s">
        <v>21</v>
      </c>
      <c r="C7" t="s">
        <v>22</v>
      </c>
      <c r="D7" t="s">
        <v>264</v>
      </c>
      <c r="E7" t="s">
        <v>803</v>
      </c>
      <c r="F7" t="s">
        <v>814</v>
      </c>
      <c r="G7" t="s">
        <v>139</v>
      </c>
      <c r="H7" t="s">
        <v>815</v>
      </c>
      <c r="I7" s="6" t="s">
        <v>141</v>
      </c>
      <c r="J7" s="13">
        <v>0.47357638888888887</v>
      </c>
    </row>
    <row r="8" spans="1:10" x14ac:dyDescent="0.35">
      <c r="A8" s="27">
        <v>2874536</v>
      </c>
      <c r="B8" t="s">
        <v>21</v>
      </c>
      <c r="C8" t="s">
        <v>22</v>
      </c>
      <c r="D8" t="s">
        <v>264</v>
      </c>
      <c r="E8" t="s">
        <v>803</v>
      </c>
      <c r="F8" t="s">
        <v>816</v>
      </c>
      <c r="G8" t="s">
        <v>139</v>
      </c>
      <c r="H8" t="s">
        <v>817</v>
      </c>
      <c r="I8" s="6" t="s">
        <v>141</v>
      </c>
      <c r="J8" s="13">
        <v>0.47365740740740742</v>
      </c>
    </row>
    <row r="9" spans="1:10" x14ac:dyDescent="0.35">
      <c r="A9" s="27">
        <v>2874674</v>
      </c>
      <c r="B9" t="s">
        <v>21</v>
      </c>
      <c r="C9" t="s">
        <v>22</v>
      </c>
      <c r="D9" t="s">
        <v>264</v>
      </c>
      <c r="E9" t="s">
        <v>803</v>
      </c>
      <c r="F9" t="s">
        <v>818</v>
      </c>
      <c r="G9" t="s">
        <v>139</v>
      </c>
      <c r="H9" t="s">
        <v>819</v>
      </c>
      <c r="I9" s="6" t="s">
        <v>141</v>
      </c>
      <c r="J9" s="13">
        <v>0.47373842592592591</v>
      </c>
    </row>
    <row r="10" spans="1:10" x14ac:dyDescent="0.35">
      <c r="A10" s="27">
        <v>2878545</v>
      </c>
      <c r="B10" t="s">
        <v>21</v>
      </c>
      <c r="C10" t="s">
        <v>22</v>
      </c>
      <c r="D10" t="s">
        <v>264</v>
      </c>
      <c r="E10" t="s">
        <v>803</v>
      </c>
      <c r="F10" t="s">
        <v>820</v>
      </c>
      <c r="G10" t="s">
        <v>129</v>
      </c>
      <c r="H10" t="s">
        <v>821</v>
      </c>
      <c r="I10" s="6" t="s">
        <v>141</v>
      </c>
      <c r="J10" s="13">
        <v>0.47381944444444446</v>
      </c>
    </row>
    <row r="11" spans="1:10" x14ac:dyDescent="0.35">
      <c r="A11" s="27">
        <v>2882967</v>
      </c>
      <c r="B11" t="s">
        <v>21</v>
      </c>
      <c r="C11" t="s">
        <v>22</v>
      </c>
      <c r="D11" t="s">
        <v>264</v>
      </c>
      <c r="E11" t="s">
        <v>803</v>
      </c>
      <c r="F11" t="s">
        <v>822</v>
      </c>
      <c r="G11" t="s">
        <v>78</v>
      </c>
      <c r="H11" t="s">
        <v>823</v>
      </c>
      <c r="I11" s="6" t="s">
        <v>141</v>
      </c>
      <c r="J11" s="13">
        <v>0.47388888888888892</v>
      </c>
    </row>
    <row r="12" spans="1:10" x14ac:dyDescent="0.35">
      <c r="A12" s="27">
        <v>2886869</v>
      </c>
      <c r="B12" t="s">
        <v>21</v>
      </c>
      <c r="C12" t="s">
        <v>22</v>
      </c>
      <c r="D12" t="s">
        <v>264</v>
      </c>
      <c r="E12" t="s">
        <v>803</v>
      </c>
      <c r="F12" t="s">
        <v>824</v>
      </c>
      <c r="G12" t="s">
        <v>120</v>
      </c>
      <c r="H12" t="s">
        <v>825</v>
      </c>
      <c r="I12" s="6" t="s">
        <v>141</v>
      </c>
      <c r="J12" s="13">
        <v>0.47396990740740741</v>
      </c>
    </row>
    <row r="13" spans="1:10" x14ac:dyDescent="0.35">
      <c r="A13" s="27">
        <v>2888972</v>
      </c>
      <c r="B13" t="s">
        <v>21</v>
      </c>
      <c r="C13" t="s">
        <v>22</v>
      </c>
      <c r="D13" t="s">
        <v>264</v>
      </c>
      <c r="E13" t="s">
        <v>803</v>
      </c>
      <c r="F13" t="s">
        <v>707</v>
      </c>
      <c r="G13" t="s">
        <v>124</v>
      </c>
      <c r="H13" t="s">
        <v>826</v>
      </c>
      <c r="I13" s="6" t="s">
        <v>141</v>
      </c>
      <c r="J13" s="13">
        <v>0.47407407407407409</v>
      </c>
    </row>
    <row r="14" spans="1:10" x14ac:dyDescent="0.35">
      <c r="A14" s="27">
        <v>2888992</v>
      </c>
      <c r="B14" t="s">
        <v>21</v>
      </c>
      <c r="C14" t="s">
        <v>22</v>
      </c>
      <c r="D14" t="s">
        <v>264</v>
      </c>
      <c r="E14" t="s">
        <v>803</v>
      </c>
      <c r="F14" t="s">
        <v>303</v>
      </c>
      <c r="G14" t="s">
        <v>124</v>
      </c>
      <c r="H14" t="s">
        <v>827</v>
      </c>
      <c r="I14" s="6" t="s">
        <v>141</v>
      </c>
      <c r="J14" s="13">
        <v>0.47416666666666668</v>
      </c>
    </row>
    <row r="15" spans="1:10" x14ac:dyDescent="0.35">
      <c r="A15" s="27">
        <v>2889023</v>
      </c>
      <c r="B15" t="s">
        <v>21</v>
      </c>
      <c r="C15" t="s">
        <v>22</v>
      </c>
      <c r="D15" t="s">
        <v>264</v>
      </c>
      <c r="E15" t="s">
        <v>803</v>
      </c>
      <c r="F15" t="s">
        <v>674</v>
      </c>
      <c r="G15" t="s">
        <v>124</v>
      </c>
      <c r="H15" t="s">
        <v>828</v>
      </c>
      <c r="I15" s="6" t="s">
        <v>141</v>
      </c>
      <c r="J15" s="13">
        <v>0.47289351851851852</v>
      </c>
    </row>
    <row r="16" spans="1:10" x14ac:dyDescent="0.35">
      <c r="A16" s="27">
        <v>2889033</v>
      </c>
      <c r="B16" t="s">
        <v>21</v>
      </c>
      <c r="C16" t="s">
        <v>22</v>
      </c>
      <c r="D16" t="s">
        <v>264</v>
      </c>
      <c r="E16" t="s">
        <v>803</v>
      </c>
      <c r="F16" t="s">
        <v>304</v>
      </c>
      <c r="G16" t="s">
        <v>124</v>
      </c>
      <c r="H16" t="s">
        <v>829</v>
      </c>
      <c r="I16" s="6" t="s">
        <v>141</v>
      </c>
      <c r="J16" s="13">
        <v>0.47424768518518517</v>
      </c>
    </row>
    <row r="17" spans="1:10" x14ac:dyDescent="0.35">
      <c r="A17" s="27">
        <v>2889098</v>
      </c>
      <c r="B17" t="s">
        <v>21</v>
      </c>
      <c r="C17" t="s">
        <v>22</v>
      </c>
      <c r="D17" t="s">
        <v>264</v>
      </c>
      <c r="E17" t="s">
        <v>803</v>
      </c>
      <c r="F17" t="s">
        <v>674</v>
      </c>
      <c r="G17" t="s">
        <v>124</v>
      </c>
      <c r="H17" t="s">
        <v>830</v>
      </c>
      <c r="I17" s="6" t="s">
        <v>141</v>
      </c>
      <c r="J17" s="13">
        <v>0.47927083333333331</v>
      </c>
    </row>
    <row r="18" spans="1:10" x14ac:dyDescent="0.35">
      <c r="A18" s="27">
        <v>2889163</v>
      </c>
      <c r="B18" t="s">
        <v>21</v>
      </c>
      <c r="C18" t="s">
        <v>22</v>
      </c>
      <c r="D18" t="s">
        <v>264</v>
      </c>
      <c r="E18" t="s">
        <v>803</v>
      </c>
      <c r="F18" t="s">
        <v>831</v>
      </c>
      <c r="G18" t="s">
        <v>124</v>
      </c>
      <c r="H18" t="s">
        <v>832</v>
      </c>
      <c r="I18" s="6" t="s">
        <v>141</v>
      </c>
      <c r="J18" s="13">
        <v>0.47442129629629631</v>
      </c>
    </row>
    <row r="19" spans="1:10" x14ac:dyDescent="0.35">
      <c r="A19" s="27">
        <v>2889319</v>
      </c>
      <c r="B19" t="s">
        <v>21</v>
      </c>
      <c r="C19" t="s">
        <v>22</v>
      </c>
      <c r="D19" t="s">
        <v>264</v>
      </c>
      <c r="E19" t="s">
        <v>803</v>
      </c>
      <c r="F19" t="s">
        <v>833</v>
      </c>
      <c r="G19" t="s">
        <v>124</v>
      </c>
      <c r="H19" t="s">
        <v>834</v>
      </c>
      <c r="I19" s="6" t="s">
        <v>141</v>
      </c>
      <c r="J19" s="13">
        <v>0.47452546296296294</v>
      </c>
    </row>
    <row r="20" spans="1:10" x14ac:dyDescent="0.35">
      <c r="A20" s="27">
        <v>2889393</v>
      </c>
      <c r="B20" t="s">
        <v>21</v>
      </c>
      <c r="C20" t="s">
        <v>22</v>
      </c>
      <c r="D20" t="s">
        <v>264</v>
      </c>
      <c r="E20" t="s">
        <v>803</v>
      </c>
      <c r="F20" t="s">
        <v>835</v>
      </c>
      <c r="G20" t="s">
        <v>124</v>
      </c>
      <c r="H20" t="s">
        <v>836</v>
      </c>
      <c r="I20" s="6" t="s">
        <v>141</v>
      </c>
      <c r="J20" s="13">
        <v>0.47461805555555553</v>
      </c>
    </row>
    <row r="21" spans="1:10" x14ac:dyDescent="0.35">
      <c r="A21" s="27">
        <v>2889397</v>
      </c>
      <c r="B21" t="s">
        <v>21</v>
      </c>
      <c r="C21" t="s">
        <v>22</v>
      </c>
      <c r="D21" t="s">
        <v>264</v>
      </c>
      <c r="E21" t="s">
        <v>803</v>
      </c>
      <c r="F21" t="s">
        <v>837</v>
      </c>
      <c r="G21" t="s">
        <v>124</v>
      </c>
      <c r="H21" t="s">
        <v>838</v>
      </c>
      <c r="I21" s="6" t="s">
        <v>141</v>
      </c>
      <c r="J21" s="13">
        <v>0.47988425925925926</v>
      </c>
    </row>
    <row r="22" spans="1:10" x14ac:dyDescent="0.35">
      <c r="A22" s="27">
        <v>2889600</v>
      </c>
      <c r="B22" t="s">
        <v>21</v>
      </c>
      <c r="C22" t="s">
        <v>22</v>
      </c>
      <c r="D22" t="s">
        <v>264</v>
      </c>
      <c r="E22" t="s">
        <v>803</v>
      </c>
      <c r="F22" t="s">
        <v>839</v>
      </c>
      <c r="G22" t="s">
        <v>124</v>
      </c>
      <c r="H22" t="s">
        <v>840</v>
      </c>
      <c r="I22" s="6" t="s">
        <v>141</v>
      </c>
      <c r="J22" s="13">
        <v>0.4748148148148148</v>
      </c>
    </row>
    <row r="23" spans="1:10" x14ac:dyDescent="0.35">
      <c r="A23" s="27">
        <v>2890157</v>
      </c>
      <c r="B23" t="s">
        <v>21</v>
      </c>
      <c r="C23" t="s">
        <v>22</v>
      </c>
      <c r="D23" t="s">
        <v>264</v>
      </c>
      <c r="E23" t="s">
        <v>803</v>
      </c>
      <c r="F23" t="s">
        <v>841</v>
      </c>
      <c r="G23" t="s">
        <v>124</v>
      </c>
      <c r="H23" t="s">
        <v>842</v>
      </c>
      <c r="I23" s="6" t="s">
        <v>141</v>
      </c>
      <c r="J23" s="13">
        <v>0.47490740740740739</v>
      </c>
    </row>
    <row r="24" spans="1:10" x14ac:dyDescent="0.35">
      <c r="A24" s="27">
        <v>2890159</v>
      </c>
      <c r="B24" t="s">
        <v>21</v>
      </c>
      <c r="C24" t="s">
        <v>22</v>
      </c>
      <c r="D24" t="s">
        <v>264</v>
      </c>
      <c r="E24" t="s">
        <v>803</v>
      </c>
      <c r="F24" t="s">
        <v>843</v>
      </c>
      <c r="G24" t="s">
        <v>124</v>
      </c>
      <c r="H24" t="s">
        <v>834</v>
      </c>
      <c r="I24" s="6" t="s">
        <v>141</v>
      </c>
      <c r="J24" s="13">
        <v>0.41666666666666669</v>
      </c>
    </row>
    <row r="25" spans="1:10" x14ac:dyDescent="0.35">
      <c r="A25" s="27">
        <v>2890199</v>
      </c>
      <c r="B25" t="s">
        <v>21</v>
      </c>
      <c r="C25" t="s">
        <v>22</v>
      </c>
      <c r="D25" t="s">
        <v>264</v>
      </c>
      <c r="E25" t="s">
        <v>803</v>
      </c>
      <c r="F25" t="s">
        <v>269</v>
      </c>
      <c r="G25" t="s">
        <v>124</v>
      </c>
      <c r="H25" t="s">
        <v>844</v>
      </c>
      <c r="I25" s="6" t="s">
        <v>141</v>
      </c>
      <c r="J25" s="13">
        <v>0.55106481481481484</v>
      </c>
    </row>
    <row r="26" spans="1:10" x14ac:dyDescent="0.35">
      <c r="A26" s="27">
        <v>2890231</v>
      </c>
      <c r="B26" t="s">
        <v>21</v>
      </c>
      <c r="C26" t="s">
        <v>22</v>
      </c>
      <c r="D26" t="s">
        <v>264</v>
      </c>
      <c r="E26" t="s">
        <v>803</v>
      </c>
      <c r="F26" t="s">
        <v>713</v>
      </c>
      <c r="G26" t="s">
        <v>74</v>
      </c>
      <c r="H26" t="s">
        <v>845</v>
      </c>
      <c r="I26" s="6" t="s">
        <v>141</v>
      </c>
      <c r="J26" s="13">
        <v>0.44667824074074075</v>
      </c>
    </row>
    <row r="27" spans="1:10" x14ac:dyDescent="0.35">
      <c r="A27" s="27">
        <v>2890238</v>
      </c>
      <c r="B27" t="s">
        <v>21</v>
      </c>
      <c r="C27" t="s">
        <v>22</v>
      </c>
      <c r="D27" t="s">
        <v>264</v>
      </c>
      <c r="E27" t="s">
        <v>803</v>
      </c>
      <c r="F27" t="s">
        <v>713</v>
      </c>
      <c r="G27" t="s">
        <v>74</v>
      </c>
      <c r="H27" t="s">
        <v>846</v>
      </c>
      <c r="I27" s="6" t="s">
        <v>141</v>
      </c>
      <c r="J27" s="13">
        <v>0.44760416666666669</v>
      </c>
    </row>
    <row r="28" spans="1:10" x14ac:dyDescent="0.35">
      <c r="A28" s="27">
        <v>2890244</v>
      </c>
      <c r="B28" t="s">
        <v>21</v>
      </c>
      <c r="C28" t="s">
        <v>22</v>
      </c>
      <c r="D28" t="s">
        <v>264</v>
      </c>
      <c r="E28" t="s">
        <v>803</v>
      </c>
      <c r="F28" t="s">
        <v>713</v>
      </c>
      <c r="G28" t="s">
        <v>74</v>
      </c>
      <c r="H28" t="s">
        <v>847</v>
      </c>
      <c r="I28" s="6" t="s">
        <v>141</v>
      </c>
      <c r="J28" s="13">
        <v>0.44815972222222222</v>
      </c>
    </row>
    <row r="29" spans="1:10" x14ac:dyDescent="0.35">
      <c r="A29" s="27">
        <v>2890250</v>
      </c>
      <c r="B29" t="s">
        <v>21</v>
      </c>
      <c r="C29" t="s">
        <v>22</v>
      </c>
      <c r="D29" t="s">
        <v>264</v>
      </c>
      <c r="E29" t="s">
        <v>803</v>
      </c>
      <c r="F29" t="s">
        <v>490</v>
      </c>
      <c r="G29" t="s">
        <v>74</v>
      </c>
      <c r="H29" t="s">
        <v>848</v>
      </c>
      <c r="I29" s="6" t="s">
        <v>141</v>
      </c>
      <c r="J29" s="13">
        <v>0.55581018518518521</v>
      </c>
    </row>
    <row r="30" spans="1:10" x14ac:dyDescent="0.35">
      <c r="A30" s="27">
        <v>2890251</v>
      </c>
      <c r="B30" t="s">
        <v>21</v>
      </c>
      <c r="C30" t="s">
        <v>22</v>
      </c>
      <c r="D30" t="s">
        <v>264</v>
      </c>
      <c r="E30" t="s">
        <v>803</v>
      </c>
      <c r="F30" t="s">
        <v>308</v>
      </c>
      <c r="G30" t="s">
        <v>74</v>
      </c>
      <c r="H30" t="s">
        <v>849</v>
      </c>
      <c r="I30" s="6" t="s">
        <v>141</v>
      </c>
      <c r="J30" s="13">
        <v>0.44546296296296295</v>
      </c>
    </row>
    <row r="31" spans="1:10" x14ac:dyDescent="0.35">
      <c r="A31" s="27">
        <v>2890252</v>
      </c>
      <c r="B31" t="s">
        <v>21</v>
      </c>
      <c r="C31" t="s">
        <v>22</v>
      </c>
      <c r="D31" t="s">
        <v>264</v>
      </c>
      <c r="E31" t="s">
        <v>803</v>
      </c>
      <c r="F31" t="s">
        <v>712</v>
      </c>
      <c r="G31" t="s">
        <v>74</v>
      </c>
      <c r="H31" t="s">
        <v>850</v>
      </c>
      <c r="I31" s="6" t="s">
        <v>141</v>
      </c>
      <c r="J31" s="13">
        <v>0.62666666666666671</v>
      </c>
    </row>
    <row r="32" spans="1:10" x14ac:dyDescent="0.35">
      <c r="A32" s="27">
        <v>2890263</v>
      </c>
      <c r="B32" t="s">
        <v>21</v>
      </c>
      <c r="C32" t="s">
        <v>22</v>
      </c>
      <c r="D32" t="s">
        <v>264</v>
      </c>
      <c r="E32" t="s">
        <v>803</v>
      </c>
      <c r="F32" t="s">
        <v>712</v>
      </c>
      <c r="G32" t="s">
        <v>74</v>
      </c>
      <c r="H32" t="s">
        <v>851</v>
      </c>
      <c r="I32" s="6" t="s">
        <v>141</v>
      </c>
      <c r="J32" s="13">
        <v>0.44982638888888887</v>
      </c>
    </row>
    <row r="33" spans="1:10" x14ac:dyDescent="0.35">
      <c r="A33" s="27">
        <v>2890268</v>
      </c>
      <c r="B33" t="s">
        <v>21</v>
      </c>
      <c r="C33" t="s">
        <v>22</v>
      </c>
      <c r="D33" t="s">
        <v>264</v>
      </c>
      <c r="E33" t="s">
        <v>803</v>
      </c>
      <c r="F33" t="s">
        <v>491</v>
      </c>
      <c r="G33" t="s">
        <v>74</v>
      </c>
      <c r="H33" t="s">
        <v>852</v>
      </c>
      <c r="I33" s="6" t="s">
        <v>141</v>
      </c>
      <c r="J33" s="13">
        <v>0.48003472222222221</v>
      </c>
    </row>
    <row r="34" spans="1:10" x14ac:dyDescent="0.35">
      <c r="A34" s="27">
        <v>2890269</v>
      </c>
      <c r="B34" t="s">
        <v>21</v>
      </c>
      <c r="C34" t="s">
        <v>22</v>
      </c>
      <c r="D34" t="s">
        <v>264</v>
      </c>
      <c r="E34" t="s">
        <v>803</v>
      </c>
      <c r="F34" t="s">
        <v>489</v>
      </c>
      <c r="G34" t="s">
        <v>74</v>
      </c>
      <c r="H34" t="s">
        <v>853</v>
      </c>
      <c r="I34" s="6" t="s">
        <v>141</v>
      </c>
      <c r="J34" s="13">
        <v>0.49065972222222221</v>
      </c>
    </row>
    <row r="35" spans="1:10" x14ac:dyDescent="0.35">
      <c r="A35" s="27">
        <v>2890274</v>
      </c>
      <c r="B35" t="s">
        <v>21</v>
      </c>
      <c r="C35" t="s">
        <v>22</v>
      </c>
      <c r="D35" t="s">
        <v>264</v>
      </c>
      <c r="E35" t="s">
        <v>803</v>
      </c>
      <c r="F35" t="s">
        <v>489</v>
      </c>
      <c r="G35" t="s">
        <v>74</v>
      </c>
      <c r="H35" t="s">
        <v>854</v>
      </c>
      <c r="I35" s="6" t="s">
        <v>141</v>
      </c>
      <c r="J35" s="13">
        <v>0.49116898148148147</v>
      </c>
    </row>
    <row r="36" spans="1:10" x14ac:dyDescent="0.35">
      <c r="A36" s="27">
        <v>2891210</v>
      </c>
      <c r="B36" t="s">
        <v>21</v>
      </c>
      <c r="C36" t="s">
        <v>22</v>
      </c>
      <c r="D36" t="s">
        <v>264</v>
      </c>
      <c r="E36" t="s">
        <v>803</v>
      </c>
      <c r="F36" t="s">
        <v>855</v>
      </c>
      <c r="G36" t="s">
        <v>74</v>
      </c>
      <c r="H36" t="s">
        <v>856</v>
      </c>
      <c r="I36" s="6" t="s">
        <v>141</v>
      </c>
      <c r="J36" s="13">
        <v>0.49159722222222224</v>
      </c>
    </row>
    <row r="37" spans="1:10" x14ac:dyDescent="0.35">
      <c r="A37" s="27">
        <v>2891347</v>
      </c>
      <c r="B37" t="s">
        <v>21</v>
      </c>
      <c r="C37" t="s">
        <v>22</v>
      </c>
      <c r="D37" t="s">
        <v>264</v>
      </c>
      <c r="E37" t="s">
        <v>803</v>
      </c>
      <c r="F37" t="s">
        <v>717</v>
      </c>
      <c r="G37" t="s">
        <v>74</v>
      </c>
      <c r="H37" t="s">
        <v>857</v>
      </c>
      <c r="I37" s="6" t="s">
        <v>141</v>
      </c>
      <c r="J37" s="13">
        <v>0.49204861111111109</v>
      </c>
    </row>
    <row r="38" spans="1:10" x14ac:dyDescent="0.35">
      <c r="A38" s="27">
        <v>2891633</v>
      </c>
      <c r="B38" t="s">
        <v>21</v>
      </c>
      <c r="C38" t="s">
        <v>22</v>
      </c>
      <c r="D38" t="s">
        <v>264</v>
      </c>
      <c r="E38" t="s">
        <v>803</v>
      </c>
      <c r="F38" t="s">
        <v>858</v>
      </c>
      <c r="G38" t="s">
        <v>74</v>
      </c>
      <c r="H38" t="s">
        <v>859</v>
      </c>
      <c r="I38" s="6" t="s">
        <v>141</v>
      </c>
      <c r="J38" s="13">
        <v>0.49260416666666668</v>
      </c>
    </row>
    <row r="39" spans="1:10" x14ac:dyDescent="0.35">
      <c r="A39" s="27">
        <v>2892009</v>
      </c>
      <c r="B39" t="s">
        <v>21</v>
      </c>
      <c r="C39" t="s">
        <v>22</v>
      </c>
      <c r="D39" t="s">
        <v>264</v>
      </c>
      <c r="E39" t="s">
        <v>803</v>
      </c>
      <c r="F39" t="s">
        <v>860</v>
      </c>
      <c r="G39" t="s">
        <v>74</v>
      </c>
      <c r="H39" t="s">
        <v>861</v>
      </c>
      <c r="I39" s="6" t="s">
        <v>141</v>
      </c>
      <c r="J39" s="13">
        <v>0.48003472222222221</v>
      </c>
    </row>
    <row r="40" spans="1:10" x14ac:dyDescent="0.35">
      <c r="A40" s="27">
        <v>2892038</v>
      </c>
      <c r="B40" t="s">
        <v>21</v>
      </c>
      <c r="C40" t="s">
        <v>22</v>
      </c>
      <c r="D40" t="s">
        <v>264</v>
      </c>
      <c r="E40" t="s">
        <v>803</v>
      </c>
      <c r="F40" t="s">
        <v>860</v>
      </c>
      <c r="G40" t="s">
        <v>74</v>
      </c>
      <c r="H40" t="s">
        <v>862</v>
      </c>
      <c r="I40" s="6" t="s">
        <v>141</v>
      </c>
      <c r="J40" s="13">
        <v>0.65946759259259258</v>
      </c>
    </row>
    <row r="41" spans="1:10" x14ac:dyDescent="0.35">
      <c r="A41" s="27">
        <v>2892346</v>
      </c>
      <c r="B41" t="s">
        <v>21</v>
      </c>
      <c r="C41" t="s">
        <v>22</v>
      </c>
      <c r="D41" t="s">
        <v>264</v>
      </c>
      <c r="E41" t="s">
        <v>803</v>
      </c>
      <c r="F41" t="s">
        <v>863</v>
      </c>
      <c r="G41" t="s">
        <v>74</v>
      </c>
      <c r="H41" t="s">
        <v>864</v>
      </c>
      <c r="I41" s="6" t="s">
        <v>141</v>
      </c>
      <c r="J41" s="13">
        <v>0.54613425925925929</v>
      </c>
    </row>
    <row r="42" spans="1:10" x14ac:dyDescent="0.35">
      <c r="A42" s="27">
        <v>2892504</v>
      </c>
      <c r="B42" t="s">
        <v>21</v>
      </c>
      <c r="C42" t="s">
        <v>22</v>
      </c>
      <c r="D42" t="s">
        <v>264</v>
      </c>
      <c r="E42" t="s">
        <v>803</v>
      </c>
      <c r="F42" t="s">
        <v>865</v>
      </c>
      <c r="G42" t="s">
        <v>74</v>
      </c>
      <c r="H42" t="s">
        <v>834</v>
      </c>
      <c r="I42" s="6" t="s">
        <v>141</v>
      </c>
      <c r="J42" s="13">
        <v>0.66666666666666663</v>
      </c>
    </row>
    <row r="43" spans="1:10" x14ac:dyDescent="0.35">
      <c r="A43" s="27">
        <v>2892749</v>
      </c>
      <c r="B43" t="s">
        <v>21</v>
      </c>
      <c r="C43" t="s">
        <v>22</v>
      </c>
      <c r="D43" t="s">
        <v>264</v>
      </c>
      <c r="E43" t="s">
        <v>803</v>
      </c>
      <c r="F43" t="s">
        <v>866</v>
      </c>
      <c r="G43" t="s">
        <v>74</v>
      </c>
      <c r="H43" t="s">
        <v>867</v>
      </c>
      <c r="I43" s="6" t="s">
        <v>141</v>
      </c>
      <c r="J43" s="13">
        <v>0.41666666666666669</v>
      </c>
    </row>
    <row r="44" spans="1:10" x14ac:dyDescent="0.35">
      <c r="A44" s="27">
        <v>2892788</v>
      </c>
      <c r="B44" t="s">
        <v>21</v>
      </c>
      <c r="C44" t="s">
        <v>22</v>
      </c>
      <c r="D44" t="s">
        <v>264</v>
      </c>
      <c r="E44" t="s">
        <v>803</v>
      </c>
      <c r="F44" t="s">
        <v>868</v>
      </c>
      <c r="G44" t="s">
        <v>74</v>
      </c>
      <c r="H44" t="s">
        <v>869</v>
      </c>
      <c r="I44" s="6" t="s">
        <v>141</v>
      </c>
      <c r="J44" s="13">
        <v>0.45266203703703706</v>
      </c>
    </row>
    <row r="45" spans="1:10" x14ac:dyDescent="0.35">
      <c r="A45" s="27">
        <v>2892790</v>
      </c>
      <c r="B45" t="s">
        <v>21</v>
      </c>
      <c r="C45" t="s">
        <v>22</v>
      </c>
      <c r="D45" t="s">
        <v>264</v>
      </c>
      <c r="E45" t="s">
        <v>803</v>
      </c>
      <c r="F45" t="s">
        <v>870</v>
      </c>
      <c r="G45" t="s">
        <v>74</v>
      </c>
      <c r="H45" t="s">
        <v>871</v>
      </c>
      <c r="I45" s="6" t="s">
        <v>141</v>
      </c>
      <c r="J45" s="13">
        <v>0.40743055555555557</v>
      </c>
    </row>
    <row r="46" spans="1:10" x14ac:dyDescent="0.35">
      <c r="A46" s="27">
        <v>2892792</v>
      </c>
      <c r="B46" t="s">
        <v>21</v>
      </c>
      <c r="C46" t="s">
        <v>22</v>
      </c>
      <c r="D46" t="s">
        <v>264</v>
      </c>
      <c r="E46" t="s">
        <v>803</v>
      </c>
      <c r="F46" t="s">
        <v>872</v>
      </c>
      <c r="G46" t="s">
        <v>74</v>
      </c>
      <c r="H46" t="s">
        <v>873</v>
      </c>
      <c r="I46" s="6" t="s">
        <v>141</v>
      </c>
      <c r="J46" s="13">
        <v>0.60784722222222221</v>
      </c>
    </row>
    <row r="47" spans="1:10" x14ac:dyDescent="0.35">
      <c r="A47" s="27">
        <v>2892809</v>
      </c>
      <c r="B47" t="s">
        <v>21</v>
      </c>
      <c r="C47" t="s">
        <v>22</v>
      </c>
      <c r="D47" t="s">
        <v>264</v>
      </c>
      <c r="E47" t="s">
        <v>803</v>
      </c>
      <c r="F47" t="s">
        <v>874</v>
      </c>
      <c r="G47" t="s">
        <v>74</v>
      </c>
      <c r="H47" t="s">
        <v>834</v>
      </c>
      <c r="I47" s="6" t="s">
        <v>141</v>
      </c>
      <c r="J47" s="13">
        <v>0.42060185185185184</v>
      </c>
    </row>
    <row r="48" spans="1:10" x14ac:dyDescent="0.35">
      <c r="A48" s="27">
        <v>2892820</v>
      </c>
      <c r="B48" t="s">
        <v>21</v>
      </c>
      <c r="C48" t="s">
        <v>22</v>
      </c>
      <c r="D48" t="s">
        <v>264</v>
      </c>
      <c r="E48" t="s">
        <v>803</v>
      </c>
      <c r="F48" t="s">
        <v>872</v>
      </c>
      <c r="G48" t="s">
        <v>74</v>
      </c>
      <c r="H48" t="s">
        <v>875</v>
      </c>
      <c r="I48" s="6" t="s">
        <v>141</v>
      </c>
      <c r="J48" s="13">
        <v>0.60099537037037032</v>
      </c>
    </row>
    <row r="49" spans="1:10" x14ac:dyDescent="0.35">
      <c r="A49" s="27">
        <v>2892822</v>
      </c>
      <c r="B49" t="s">
        <v>21</v>
      </c>
      <c r="C49" t="s">
        <v>22</v>
      </c>
      <c r="D49" t="s">
        <v>264</v>
      </c>
      <c r="E49" t="s">
        <v>803</v>
      </c>
      <c r="F49" t="s">
        <v>876</v>
      </c>
      <c r="G49" t="s">
        <v>74</v>
      </c>
      <c r="H49" t="s">
        <v>877</v>
      </c>
      <c r="I49" s="6" t="s">
        <v>141</v>
      </c>
      <c r="J49" s="13">
        <v>0.4123263888888889</v>
      </c>
    </row>
    <row r="50" spans="1:10" x14ac:dyDescent="0.35">
      <c r="A50" s="27">
        <v>2892849</v>
      </c>
      <c r="B50" t="s">
        <v>21</v>
      </c>
      <c r="C50" t="s">
        <v>22</v>
      </c>
      <c r="D50" t="s">
        <v>264</v>
      </c>
      <c r="E50" t="s">
        <v>803</v>
      </c>
      <c r="F50" t="s">
        <v>878</v>
      </c>
      <c r="G50" t="s">
        <v>74</v>
      </c>
      <c r="H50" t="s">
        <v>879</v>
      </c>
      <c r="I50" s="6" t="s">
        <v>141</v>
      </c>
      <c r="J50" s="13">
        <v>0.66666666666666663</v>
      </c>
    </row>
    <row r="51" spans="1:10" x14ac:dyDescent="0.35">
      <c r="A51" s="27">
        <v>2892851</v>
      </c>
      <c r="B51" t="s">
        <v>21</v>
      </c>
      <c r="C51" t="s">
        <v>22</v>
      </c>
      <c r="D51" t="s">
        <v>264</v>
      </c>
      <c r="E51" t="s">
        <v>803</v>
      </c>
      <c r="F51" t="s">
        <v>880</v>
      </c>
      <c r="G51" t="s">
        <v>74</v>
      </c>
      <c r="H51" t="s">
        <v>881</v>
      </c>
      <c r="I51" s="6" t="s">
        <v>141</v>
      </c>
      <c r="J51" s="13">
        <v>0.60179398148148144</v>
      </c>
    </row>
    <row r="52" spans="1:10" x14ac:dyDescent="0.35">
      <c r="A52" s="27">
        <v>2892853</v>
      </c>
      <c r="B52" t="s">
        <v>21</v>
      </c>
      <c r="C52" t="s">
        <v>22</v>
      </c>
      <c r="D52" t="s">
        <v>264</v>
      </c>
      <c r="E52" t="s">
        <v>803</v>
      </c>
      <c r="F52" t="s">
        <v>882</v>
      </c>
      <c r="G52" t="s">
        <v>74</v>
      </c>
      <c r="H52" t="s">
        <v>883</v>
      </c>
      <c r="I52" s="6" t="s">
        <v>141</v>
      </c>
      <c r="J52" s="13">
        <v>0.47510416666666666</v>
      </c>
    </row>
    <row r="53" spans="1:10" x14ac:dyDescent="0.35">
      <c r="A53" s="27">
        <v>2892857</v>
      </c>
      <c r="B53" t="s">
        <v>21</v>
      </c>
      <c r="C53" t="s">
        <v>22</v>
      </c>
      <c r="D53" t="s">
        <v>264</v>
      </c>
      <c r="E53" t="s">
        <v>803</v>
      </c>
      <c r="F53" t="s">
        <v>884</v>
      </c>
      <c r="G53" t="s">
        <v>74</v>
      </c>
      <c r="H53" t="s">
        <v>885</v>
      </c>
      <c r="I53" s="6" t="s">
        <v>141</v>
      </c>
      <c r="J53" s="13">
        <v>0.60190972222222228</v>
      </c>
    </row>
    <row r="54" spans="1:10" x14ac:dyDescent="0.35">
      <c r="A54" s="27">
        <v>2892858</v>
      </c>
      <c r="B54" t="s">
        <v>21</v>
      </c>
      <c r="C54" t="s">
        <v>22</v>
      </c>
      <c r="D54" t="s">
        <v>264</v>
      </c>
      <c r="E54" t="s">
        <v>803</v>
      </c>
      <c r="F54" t="s">
        <v>882</v>
      </c>
      <c r="G54" t="s">
        <v>74</v>
      </c>
      <c r="H54" t="s">
        <v>886</v>
      </c>
      <c r="I54" s="6" t="s">
        <v>141</v>
      </c>
      <c r="J54" s="13">
        <v>0.602025462962963</v>
      </c>
    </row>
    <row r="55" spans="1:10" x14ac:dyDescent="0.35">
      <c r="A55" s="27">
        <v>2892863</v>
      </c>
      <c r="B55" t="s">
        <v>21</v>
      </c>
      <c r="C55" t="s">
        <v>22</v>
      </c>
      <c r="D55" t="s">
        <v>264</v>
      </c>
      <c r="E55" t="s">
        <v>803</v>
      </c>
      <c r="F55" t="s">
        <v>887</v>
      </c>
      <c r="G55" t="s">
        <v>74</v>
      </c>
      <c r="H55" t="s">
        <v>888</v>
      </c>
      <c r="I55" s="6" t="s">
        <v>141</v>
      </c>
      <c r="J55" s="13">
        <v>0.60215277777777776</v>
      </c>
    </row>
    <row r="56" spans="1:10" x14ac:dyDescent="0.35">
      <c r="A56" s="27">
        <v>2892865</v>
      </c>
      <c r="B56" t="s">
        <v>21</v>
      </c>
      <c r="C56" t="s">
        <v>22</v>
      </c>
      <c r="D56" t="s">
        <v>264</v>
      </c>
      <c r="E56" t="s">
        <v>803</v>
      </c>
      <c r="F56" t="s">
        <v>878</v>
      </c>
      <c r="G56" t="s">
        <v>74</v>
      </c>
      <c r="H56" t="s">
        <v>889</v>
      </c>
      <c r="I56" s="6" t="s">
        <v>141</v>
      </c>
      <c r="J56" s="13">
        <v>0.41666666666666669</v>
      </c>
    </row>
    <row r="57" spans="1:10" x14ac:dyDescent="0.35">
      <c r="A57" s="27">
        <v>2892866</v>
      </c>
      <c r="B57" t="s">
        <v>21</v>
      </c>
      <c r="C57" t="s">
        <v>22</v>
      </c>
      <c r="D57" t="s">
        <v>264</v>
      </c>
      <c r="E57" t="s">
        <v>803</v>
      </c>
      <c r="F57" t="s">
        <v>890</v>
      </c>
      <c r="G57" t="s">
        <v>74</v>
      </c>
      <c r="H57" t="s">
        <v>891</v>
      </c>
      <c r="I57" s="6" t="s">
        <v>141</v>
      </c>
      <c r="J57" s="13">
        <v>0.41666666666666669</v>
      </c>
    </row>
    <row r="58" spans="1:10" x14ac:dyDescent="0.35">
      <c r="A58" s="27">
        <v>2892869</v>
      </c>
      <c r="B58" t="s">
        <v>21</v>
      </c>
      <c r="C58" t="s">
        <v>22</v>
      </c>
      <c r="D58" t="s">
        <v>264</v>
      </c>
      <c r="E58" t="s">
        <v>803</v>
      </c>
      <c r="F58" t="s">
        <v>892</v>
      </c>
      <c r="G58" t="s">
        <v>74</v>
      </c>
      <c r="H58" t="s">
        <v>893</v>
      </c>
      <c r="I58" s="6" t="s">
        <v>141</v>
      </c>
      <c r="J58" s="13">
        <v>0.41666666666666669</v>
      </c>
    </row>
    <row r="59" spans="1:10" x14ac:dyDescent="0.35">
      <c r="A59" s="27">
        <v>2892870</v>
      </c>
      <c r="B59" t="s">
        <v>21</v>
      </c>
      <c r="C59" t="s">
        <v>22</v>
      </c>
      <c r="D59" t="s">
        <v>264</v>
      </c>
      <c r="E59" t="s">
        <v>803</v>
      </c>
      <c r="F59" t="s">
        <v>894</v>
      </c>
      <c r="G59" t="s">
        <v>74</v>
      </c>
      <c r="H59" t="s">
        <v>895</v>
      </c>
      <c r="I59" s="6" t="s">
        <v>141</v>
      </c>
      <c r="J59" s="13">
        <v>0.41666666666666669</v>
      </c>
    </row>
    <row r="60" spans="1:10" x14ac:dyDescent="0.35">
      <c r="A60" s="27">
        <v>2892871</v>
      </c>
      <c r="B60" t="s">
        <v>21</v>
      </c>
      <c r="C60" t="s">
        <v>22</v>
      </c>
      <c r="D60" t="s">
        <v>264</v>
      </c>
      <c r="E60" t="s">
        <v>803</v>
      </c>
      <c r="F60" t="s">
        <v>283</v>
      </c>
      <c r="G60" t="s">
        <v>74</v>
      </c>
      <c r="H60" t="s">
        <v>896</v>
      </c>
      <c r="I60" s="6" t="s">
        <v>141</v>
      </c>
      <c r="J60" s="13">
        <v>0.60226851851851848</v>
      </c>
    </row>
    <row r="61" spans="1:10" x14ac:dyDescent="0.35">
      <c r="A61" s="27">
        <v>2892876</v>
      </c>
      <c r="B61" t="s">
        <v>21</v>
      </c>
      <c r="C61" t="s">
        <v>22</v>
      </c>
      <c r="D61" t="s">
        <v>264</v>
      </c>
      <c r="E61" t="s">
        <v>803</v>
      </c>
      <c r="F61" t="s">
        <v>897</v>
      </c>
      <c r="G61" t="s">
        <v>74</v>
      </c>
      <c r="H61" t="s">
        <v>871</v>
      </c>
      <c r="I61" s="6" t="s">
        <v>141</v>
      </c>
      <c r="J61" s="13">
        <v>0.60237268518518516</v>
      </c>
    </row>
    <row r="62" spans="1:10" x14ac:dyDescent="0.35">
      <c r="A62" s="27">
        <v>2892877</v>
      </c>
      <c r="B62" t="s">
        <v>21</v>
      </c>
      <c r="C62" t="s">
        <v>22</v>
      </c>
      <c r="D62" t="s">
        <v>264</v>
      </c>
      <c r="E62" t="s">
        <v>803</v>
      </c>
      <c r="F62" t="s">
        <v>898</v>
      </c>
      <c r="G62" t="s">
        <v>74</v>
      </c>
      <c r="H62" t="s">
        <v>899</v>
      </c>
      <c r="I62" s="6" t="s">
        <v>141</v>
      </c>
      <c r="J62" s="13">
        <v>0.60248842592592589</v>
      </c>
    </row>
    <row r="63" spans="1:10" x14ac:dyDescent="0.35">
      <c r="A63" s="27">
        <v>2892879</v>
      </c>
      <c r="B63" t="s">
        <v>21</v>
      </c>
      <c r="C63" t="s">
        <v>22</v>
      </c>
      <c r="D63" t="s">
        <v>264</v>
      </c>
      <c r="E63" t="s">
        <v>803</v>
      </c>
      <c r="F63" t="s">
        <v>900</v>
      </c>
      <c r="G63" t="s">
        <v>74</v>
      </c>
      <c r="H63" t="s">
        <v>901</v>
      </c>
      <c r="I63" s="6" t="s">
        <v>141</v>
      </c>
      <c r="J63" s="13">
        <v>0.60259259259259257</v>
      </c>
    </row>
    <row r="64" spans="1:10" x14ac:dyDescent="0.35">
      <c r="A64" s="27">
        <v>2893078</v>
      </c>
      <c r="B64" t="s">
        <v>21</v>
      </c>
      <c r="C64" t="s">
        <v>22</v>
      </c>
      <c r="D64" t="s">
        <v>264</v>
      </c>
      <c r="E64" t="s">
        <v>803</v>
      </c>
      <c r="F64" t="s">
        <v>902</v>
      </c>
      <c r="G64" t="s">
        <v>127</v>
      </c>
      <c r="H64" t="s">
        <v>903</v>
      </c>
      <c r="I64" s="6" t="s">
        <v>141</v>
      </c>
      <c r="J64" s="13">
        <v>0.5584837962962963</v>
      </c>
    </row>
    <row r="65" spans="1:10" x14ac:dyDescent="0.35">
      <c r="A65" s="27">
        <v>2893084</v>
      </c>
      <c r="B65" t="s">
        <v>21</v>
      </c>
      <c r="C65" t="s">
        <v>22</v>
      </c>
      <c r="D65" t="s">
        <v>264</v>
      </c>
      <c r="E65" t="s">
        <v>803</v>
      </c>
      <c r="F65" t="s">
        <v>904</v>
      </c>
      <c r="G65" t="s">
        <v>127</v>
      </c>
      <c r="H65" t="s">
        <v>905</v>
      </c>
      <c r="I65" s="6" t="s">
        <v>141</v>
      </c>
      <c r="J65" s="13">
        <v>0.60269675925925925</v>
      </c>
    </row>
    <row r="66" spans="1:10" x14ac:dyDescent="0.35">
      <c r="A66" s="27">
        <v>2893556</v>
      </c>
      <c r="B66" t="s">
        <v>21</v>
      </c>
      <c r="C66" t="s">
        <v>22</v>
      </c>
      <c r="D66" t="s">
        <v>264</v>
      </c>
      <c r="E66" t="s">
        <v>803</v>
      </c>
      <c r="F66" t="s">
        <v>906</v>
      </c>
      <c r="G66" t="s">
        <v>127</v>
      </c>
      <c r="H66" t="s">
        <v>834</v>
      </c>
      <c r="I66" s="6" t="s">
        <v>141</v>
      </c>
      <c r="J66" s="13">
        <v>0.60281249999999997</v>
      </c>
    </row>
    <row r="67" spans="1:10" x14ac:dyDescent="0.35">
      <c r="A67" s="27">
        <v>2893793</v>
      </c>
      <c r="B67" t="s">
        <v>21</v>
      </c>
      <c r="C67" t="s">
        <v>22</v>
      </c>
      <c r="D67" t="s">
        <v>264</v>
      </c>
      <c r="E67" t="s">
        <v>803</v>
      </c>
      <c r="F67" t="s">
        <v>907</v>
      </c>
      <c r="G67" t="s">
        <v>127</v>
      </c>
      <c r="H67" t="s">
        <v>908</v>
      </c>
      <c r="I67" s="6" t="s">
        <v>141</v>
      </c>
      <c r="J67" s="13">
        <v>0.6029282407407407</v>
      </c>
    </row>
    <row r="68" spans="1:10" x14ac:dyDescent="0.35">
      <c r="A68" s="27">
        <v>2893858</v>
      </c>
      <c r="B68" t="s">
        <v>21</v>
      </c>
      <c r="C68" t="s">
        <v>22</v>
      </c>
      <c r="D68" t="s">
        <v>264</v>
      </c>
      <c r="E68" t="s">
        <v>803</v>
      </c>
      <c r="F68" t="s">
        <v>909</v>
      </c>
      <c r="G68" t="s">
        <v>127</v>
      </c>
      <c r="H68" t="s">
        <v>910</v>
      </c>
      <c r="I68" s="6" t="s">
        <v>141</v>
      </c>
      <c r="J68" s="13">
        <v>0.60304398148148153</v>
      </c>
    </row>
    <row r="69" spans="1:10" x14ac:dyDescent="0.35">
      <c r="A69" s="27">
        <v>2894089</v>
      </c>
      <c r="B69" t="s">
        <v>21</v>
      </c>
      <c r="C69" t="s">
        <v>22</v>
      </c>
      <c r="D69" t="s">
        <v>264</v>
      </c>
      <c r="E69" t="s">
        <v>803</v>
      </c>
      <c r="F69" t="s">
        <v>911</v>
      </c>
      <c r="G69" t="s">
        <v>127</v>
      </c>
      <c r="H69" t="s">
        <v>912</v>
      </c>
      <c r="I69" s="6" t="s">
        <v>141</v>
      </c>
      <c r="J69" s="13">
        <v>0.39906249999999999</v>
      </c>
    </row>
    <row r="70" spans="1:10" x14ac:dyDescent="0.35">
      <c r="A70" s="27">
        <v>2894304</v>
      </c>
      <c r="B70" t="s">
        <v>21</v>
      </c>
      <c r="C70" t="s">
        <v>22</v>
      </c>
      <c r="D70" t="s">
        <v>264</v>
      </c>
      <c r="E70" t="s">
        <v>803</v>
      </c>
      <c r="F70" t="s">
        <v>913</v>
      </c>
      <c r="G70" t="s">
        <v>127</v>
      </c>
      <c r="H70" t="s">
        <v>914</v>
      </c>
      <c r="I70" s="6" t="s">
        <v>141</v>
      </c>
      <c r="J70" s="13">
        <v>0.44368055555555558</v>
      </c>
    </row>
    <row r="71" spans="1:10" x14ac:dyDescent="0.35">
      <c r="A71" s="27">
        <v>2894340</v>
      </c>
      <c r="B71" t="s">
        <v>21</v>
      </c>
      <c r="C71" t="s">
        <v>22</v>
      </c>
      <c r="D71" t="s">
        <v>264</v>
      </c>
      <c r="E71" t="s">
        <v>803</v>
      </c>
      <c r="F71" t="s">
        <v>915</v>
      </c>
      <c r="G71" t="s">
        <v>127</v>
      </c>
      <c r="H71" t="s">
        <v>916</v>
      </c>
      <c r="I71" s="6" t="s">
        <v>141</v>
      </c>
      <c r="J71" s="13">
        <v>0.59841435185185188</v>
      </c>
    </row>
    <row r="72" spans="1:10" x14ac:dyDescent="0.35">
      <c r="A72" s="27">
        <v>2894448</v>
      </c>
      <c r="B72" t="s">
        <v>21</v>
      </c>
      <c r="C72" t="s">
        <v>22</v>
      </c>
      <c r="D72" t="s">
        <v>264</v>
      </c>
      <c r="E72" t="s">
        <v>803</v>
      </c>
      <c r="F72" t="s">
        <v>917</v>
      </c>
      <c r="G72" t="s">
        <v>127</v>
      </c>
      <c r="H72" t="s">
        <v>918</v>
      </c>
      <c r="I72" s="6" t="s">
        <v>141</v>
      </c>
      <c r="J72" s="13">
        <v>0.48030092592592594</v>
      </c>
    </row>
    <row r="73" spans="1:10" x14ac:dyDescent="0.35">
      <c r="A73" s="27">
        <v>2894450</v>
      </c>
      <c r="B73" t="s">
        <v>21</v>
      </c>
      <c r="C73" t="s">
        <v>22</v>
      </c>
      <c r="D73" t="s">
        <v>264</v>
      </c>
      <c r="E73" t="s">
        <v>803</v>
      </c>
      <c r="F73" t="s">
        <v>919</v>
      </c>
      <c r="G73" t="s">
        <v>127</v>
      </c>
      <c r="H73" t="s">
        <v>920</v>
      </c>
      <c r="I73" s="6" t="s">
        <v>141</v>
      </c>
      <c r="J73" s="13">
        <v>0.48039351851851853</v>
      </c>
    </row>
    <row r="74" spans="1:10" x14ac:dyDescent="0.35">
      <c r="A74" s="27">
        <v>2894466</v>
      </c>
      <c r="B74" t="s">
        <v>21</v>
      </c>
      <c r="C74" t="s">
        <v>22</v>
      </c>
      <c r="D74" t="s">
        <v>264</v>
      </c>
      <c r="E74" t="s">
        <v>803</v>
      </c>
      <c r="F74" t="s">
        <v>921</v>
      </c>
      <c r="G74" t="s">
        <v>127</v>
      </c>
      <c r="H74" t="s">
        <v>922</v>
      </c>
      <c r="I74" s="6" t="s">
        <v>141</v>
      </c>
      <c r="J74" s="13">
        <v>0.38646990740740739</v>
      </c>
    </row>
    <row r="75" spans="1:10" x14ac:dyDescent="0.35">
      <c r="A75" s="27">
        <v>2894493</v>
      </c>
      <c r="B75" t="s">
        <v>21</v>
      </c>
      <c r="C75" t="s">
        <v>22</v>
      </c>
      <c r="D75" t="s">
        <v>264</v>
      </c>
      <c r="E75" t="s">
        <v>803</v>
      </c>
      <c r="F75" t="s">
        <v>923</v>
      </c>
      <c r="G75" t="s">
        <v>127</v>
      </c>
      <c r="H75" t="s">
        <v>924</v>
      </c>
      <c r="I75" s="6" t="s">
        <v>141</v>
      </c>
      <c r="J75" s="13">
        <v>0.60953703703703699</v>
      </c>
    </row>
    <row r="76" spans="1:10" x14ac:dyDescent="0.35">
      <c r="A76" s="27">
        <v>2894537</v>
      </c>
      <c r="B76" t="s">
        <v>21</v>
      </c>
      <c r="C76" t="s">
        <v>22</v>
      </c>
      <c r="D76" t="s">
        <v>264</v>
      </c>
      <c r="E76" t="s">
        <v>803</v>
      </c>
      <c r="F76" t="s">
        <v>925</v>
      </c>
      <c r="G76" t="s">
        <v>127</v>
      </c>
      <c r="H76" t="s">
        <v>926</v>
      </c>
      <c r="I76" s="6" t="s">
        <v>141</v>
      </c>
      <c r="J76" s="13">
        <v>0.56925925925925924</v>
      </c>
    </row>
    <row r="77" spans="1:10" x14ac:dyDescent="0.35">
      <c r="A77" s="27">
        <v>2894609</v>
      </c>
      <c r="B77" t="s">
        <v>21</v>
      </c>
      <c r="C77" t="s">
        <v>22</v>
      </c>
      <c r="D77" t="s">
        <v>264</v>
      </c>
      <c r="E77" t="s">
        <v>803</v>
      </c>
      <c r="F77" t="s">
        <v>927</v>
      </c>
      <c r="G77" t="s">
        <v>127</v>
      </c>
      <c r="H77" t="s">
        <v>819</v>
      </c>
      <c r="I77" s="6">
        <v>45602</v>
      </c>
      <c r="J77" s="13">
        <v>0.7074421296296296</v>
      </c>
    </row>
    <row r="78" spans="1:10" x14ac:dyDescent="0.35">
      <c r="A78" s="27">
        <v>2894626</v>
      </c>
      <c r="B78" t="s">
        <v>21</v>
      </c>
      <c r="C78" t="s">
        <v>22</v>
      </c>
      <c r="D78" t="s">
        <v>264</v>
      </c>
      <c r="E78" t="s">
        <v>803</v>
      </c>
      <c r="F78" t="s">
        <v>928</v>
      </c>
      <c r="G78" t="s">
        <v>127</v>
      </c>
      <c r="H78" t="s">
        <v>929</v>
      </c>
      <c r="I78" s="6">
        <v>45632</v>
      </c>
      <c r="J78" s="13">
        <v>0.58944444444444444</v>
      </c>
    </row>
    <row r="79" spans="1:10" x14ac:dyDescent="0.35">
      <c r="A79" s="27">
        <v>2894650</v>
      </c>
      <c r="B79" t="s">
        <v>21</v>
      </c>
      <c r="C79" t="s">
        <v>22</v>
      </c>
      <c r="D79" t="s">
        <v>264</v>
      </c>
      <c r="E79" t="s">
        <v>803</v>
      </c>
      <c r="F79" t="s">
        <v>930</v>
      </c>
      <c r="G79" t="s">
        <v>127</v>
      </c>
      <c r="H79" t="s">
        <v>931</v>
      </c>
      <c r="I79" s="6">
        <v>45632</v>
      </c>
      <c r="J79" s="13">
        <v>0.33568287037037037</v>
      </c>
    </row>
    <row r="80" spans="1:10" x14ac:dyDescent="0.35">
      <c r="A80" s="27">
        <v>2894652</v>
      </c>
      <c r="B80" t="s">
        <v>21</v>
      </c>
      <c r="C80" t="s">
        <v>22</v>
      </c>
      <c r="D80" t="s">
        <v>264</v>
      </c>
      <c r="E80" t="s">
        <v>803</v>
      </c>
      <c r="F80" t="s">
        <v>932</v>
      </c>
      <c r="G80" t="s">
        <v>127</v>
      </c>
      <c r="H80" t="s">
        <v>933</v>
      </c>
      <c r="I80" s="6">
        <v>45632</v>
      </c>
      <c r="J80" s="13">
        <v>0.4073148148148148</v>
      </c>
    </row>
    <row r="81" spans="1:10" x14ac:dyDescent="0.35">
      <c r="A81" s="27">
        <v>2894666</v>
      </c>
      <c r="B81" t="s">
        <v>21</v>
      </c>
      <c r="C81" t="s">
        <v>22</v>
      </c>
      <c r="D81" t="s">
        <v>264</v>
      </c>
      <c r="E81" t="s">
        <v>803</v>
      </c>
      <c r="F81" t="s">
        <v>934</v>
      </c>
      <c r="G81" t="s">
        <v>127</v>
      </c>
      <c r="H81" t="s">
        <v>935</v>
      </c>
      <c r="I81" s="6" t="s">
        <v>141</v>
      </c>
      <c r="J81" s="13">
        <v>0.35120370370370368</v>
      </c>
    </row>
    <row r="82" spans="1:10" x14ac:dyDescent="0.35">
      <c r="A82" s="27">
        <v>2894685</v>
      </c>
      <c r="B82" t="s">
        <v>21</v>
      </c>
      <c r="C82" t="s">
        <v>22</v>
      </c>
      <c r="D82" t="s">
        <v>264</v>
      </c>
      <c r="E82" t="s">
        <v>803</v>
      </c>
      <c r="F82" t="s">
        <v>936</v>
      </c>
      <c r="G82" t="s">
        <v>127</v>
      </c>
      <c r="H82" t="s">
        <v>937</v>
      </c>
      <c r="I82" s="6" t="s">
        <v>141</v>
      </c>
      <c r="J82" s="13">
        <v>0.55761574074074072</v>
      </c>
    </row>
    <row r="83" spans="1:10" x14ac:dyDescent="0.35">
      <c r="A83" s="27">
        <v>2894696</v>
      </c>
      <c r="B83" t="s">
        <v>21</v>
      </c>
      <c r="C83" t="s">
        <v>22</v>
      </c>
      <c r="D83" t="s">
        <v>264</v>
      </c>
      <c r="E83" t="s">
        <v>803</v>
      </c>
      <c r="F83" t="s">
        <v>938</v>
      </c>
      <c r="G83" t="s">
        <v>127</v>
      </c>
      <c r="H83" t="s">
        <v>939</v>
      </c>
      <c r="I83" s="2" t="s">
        <v>141</v>
      </c>
      <c r="J83" s="13">
        <v>0.61402777777777773</v>
      </c>
    </row>
    <row r="84" spans="1:10" x14ac:dyDescent="0.35">
      <c r="A84" s="27">
        <v>2894791</v>
      </c>
      <c r="B84" t="s">
        <v>21</v>
      </c>
      <c r="C84" t="s">
        <v>22</v>
      </c>
      <c r="D84" t="s">
        <v>264</v>
      </c>
      <c r="E84" t="s">
        <v>803</v>
      </c>
      <c r="F84" t="s">
        <v>940</v>
      </c>
      <c r="G84" t="s">
        <v>127</v>
      </c>
      <c r="H84" t="s">
        <v>941</v>
      </c>
      <c r="I84" s="2" t="s">
        <v>141</v>
      </c>
      <c r="J84" s="13">
        <v>0.61422453703703705</v>
      </c>
    </row>
    <row r="85" spans="1:10" x14ac:dyDescent="0.35">
      <c r="A85" s="27">
        <v>2894809</v>
      </c>
      <c r="B85" t="s">
        <v>21</v>
      </c>
      <c r="C85" t="s">
        <v>22</v>
      </c>
      <c r="D85" t="s">
        <v>264</v>
      </c>
      <c r="E85" t="s">
        <v>803</v>
      </c>
      <c r="F85" t="s">
        <v>942</v>
      </c>
      <c r="G85" t="s">
        <v>127</v>
      </c>
      <c r="H85" t="s">
        <v>943</v>
      </c>
      <c r="I85" s="6">
        <v>45632</v>
      </c>
      <c r="J85" s="13">
        <v>0.66847222222222225</v>
      </c>
    </row>
    <row r="86" spans="1:10" x14ac:dyDescent="0.35">
      <c r="A86" s="27">
        <v>2894824</v>
      </c>
      <c r="B86" t="s">
        <v>21</v>
      </c>
      <c r="C86" t="s">
        <v>22</v>
      </c>
      <c r="D86" t="s">
        <v>264</v>
      </c>
      <c r="E86" t="s">
        <v>803</v>
      </c>
      <c r="F86" t="s">
        <v>932</v>
      </c>
      <c r="G86" t="s">
        <v>127</v>
      </c>
      <c r="H86" t="s">
        <v>944</v>
      </c>
      <c r="I86" s="6">
        <v>45632</v>
      </c>
      <c r="J86" s="13">
        <v>0.48582175925925924</v>
      </c>
    </row>
    <row r="87" spans="1:10" x14ac:dyDescent="0.35">
      <c r="A87" s="27">
        <v>2894835</v>
      </c>
      <c r="B87" t="s">
        <v>21</v>
      </c>
      <c r="C87" t="s">
        <v>22</v>
      </c>
      <c r="D87" t="s">
        <v>264</v>
      </c>
      <c r="E87" t="s">
        <v>803</v>
      </c>
      <c r="F87" t="s">
        <v>928</v>
      </c>
      <c r="G87" t="s">
        <v>127</v>
      </c>
      <c r="H87" t="s">
        <v>945</v>
      </c>
      <c r="I87" s="6">
        <v>45632</v>
      </c>
      <c r="J87" s="13">
        <v>0.67405092592592597</v>
      </c>
    </row>
    <row r="88" spans="1:10" x14ac:dyDescent="0.35">
      <c r="A88" s="27">
        <v>2894924</v>
      </c>
      <c r="B88" t="s">
        <v>21</v>
      </c>
      <c r="C88" t="s">
        <v>22</v>
      </c>
      <c r="D88" t="s">
        <v>264</v>
      </c>
      <c r="E88" t="s">
        <v>803</v>
      </c>
      <c r="F88" t="s">
        <v>946</v>
      </c>
      <c r="G88" t="s">
        <v>127</v>
      </c>
      <c r="H88" t="s">
        <v>947</v>
      </c>
      <c r="I88" s="6">
        <v>45632</v>
      </c>
      <c r="J88" s="13">
        <v>0.40172453703703703</v>
      </c>
    </row>
    <row r="89" spans="1:10" x14ac:dyDescent="0.35">
      <c r="A89" s="27">
        <v>2894927</v>
      </c>
      <c r="B89" t="s">
        <v>21</v>
      </c>
      <c r="C89" t="s">
        <v>22</v>
      </c>
      <c r="D89" t="s">
        <v>264</v>
      </c>
      <c r="E89" t="s">
        <v>803</v>
      </c>
      <c r="F89" t="s">
        <v>948</v>
      </c>
      <c r="G89" t="s">
        <v>127</v>
      </c>
      <c r="H89" t="s">
        <v>949</v>
      </c>
      <c r="I89" s="6">
        <v>45602</v>
      </c>
      <c r="J89" s="13">
        <v>0.68365740740740744</v>
      </c>
    </row>
    <row r="90" spans="1:10" x14ac:dyDescent="0.35">
      <c r="A90" s="27">
        <v>2895028</v>
      </c>
      <c r="B90" t="s">
        <v>21</v>
      </c>
      <c r="C90" t="s">
        <v>22</v>
      </c>
      <c r="D90" t="s">
        <v>264</v>
      </c>
      <c r="E90" t="s">
        <v>803</v>
      </c>
      <c r="F90" t="s">
        <v>950</v>
      </c>
      <c r="G90" t="s">
        <v>127</v>
      </c>
      <c r="H90" t="s">
        <v>951</v>
      </c>
      <c r="I90" s="2" t="s">
        <v>141</v>
      </c>
      <c r="J90" s="13">
        <v>0.41666666666666669</v>
      </c>
    </row>
    <row r="91" spans="1:10" x14ac:dyDescent="0.35">
      <c r="A91" s="27">
        <v>2895093</v>
      </c>
      <c r="B91" t="s">
        <v>21</v>
      </c>
      <c r="C91" t="s">
        <v>22</v>
      </c>
      <c r="D91" t="s">
        <v>264</v>
      </c>
      <c r="E91" t="s">
        <v>803</v>
      </c>
      <c r="F91" t="s">
        <v>952</v>
      </c>
      <c r="G91" t="s">
        <v>127</v>
      </c>
      <c r="H91" t="s">
        <v>953</v>
      </c>
      <c r="I91" s="6">
        <v>45632</v>
      </c>
      <c r="J91" s="13">
        <v>0.40075231481481483</v>
      </c>
    </row>
    <row r="92" spans="1:10" x14ac:dyDescent="0.35">
      <c r="A92" s="27">
        <v>2895858</v>
      </c>
      <c r="B92" t="s">
        <v>21</v>
      </c>
      <c r="C92" t="s">
        <v>22</v>
      </c>
      <c r="D92" t="s">
        <v>264</v>
      </c>
      <c r="E92" t="s">
        <v>803</v>
      </c>
      <c r="F92" t="s">
        <v>954</v>
      </c>
      <c r="G92" t="s">
        <v>141</v>
      </c>
      <c r="H92" t="s">
        <v>955</v>
      </c>
      <c r="I92" s="6">
        <v>45632</v>
      </c>
      <c r="J92" s="13">
        <v>0.39909722222222221</v>
      </c>
    </row>
    <row r="93" spans="1:10" x14ac:dyDescent="0.35">
      <c r="A93" s="27">
        <v>2897812</v>
      </c>
      <c r="B93" t="s">
        <v>21</v>
      </c>
      <c r="C93" t="s">
        <v>22</v>
      </c>
      <c r="D93" t="s">
        <v>264</v>
      </c>
      <c r="E93" t="s">
        <v>803</v>
      </c>
      <c r="F93" t="s">
        <v>954</v>
      </c>
      <c r="G93" t="s">
        <v>141</v>
      </c>
      <c r="H93" t="s">
        <v>956</v>
      </c>
      <c r="I93" s="2" t="s">
        <v>141</v>
      </c>
      <c r="J93" s="13">
        <v>0.41666666666666669</v>
      </c>
    </row>
    <row r="94" spans="1:10" x14ac:dyDescent="0.35">
      <c r="A94" s="27">
        <v>2897923</v>
      </c>
      <c r="B94" t="s">
        <v>21</v>
      </c>
      <c r="C94" t="s">
        <v>22</v>
      </c>
      <c r="D94" t="s">
        <v>264</v>
      </c>
      <c r="E94" t="s">
        <v>803</v>
      </c>
      <c r="F94" t="s">
        <v>954</v>
      </c>
      <c r="G94" t="s">
        <v>141</v>
      </c>
      <c r="H94" t="s">
        <v>957</v>
      </c>
      <c r="I94" s="6">
        <v>45632</v>
      </c>
      <c r="J94" s="13">
        <v>0.39706018518518521</v>
      </c>
    </row>
    <row r="95" spans="1:10" x14ac:dyDescent="0.35">
      <c r="A95" s="27">
        <v>2898131</v>
      </c>
      <c r="B95" t="s">
        <v>21</v>
      </c>
      <c r="C95" t="s">
        <v>22</v>
      </c>
      <c r="D95" t="s">
        <v>264</v>
      </c>
      <c r="E95" t="s">
        <v>803</v>
      </c>
      <c r="F95" t="s">
        <v>954</v>
      </c>
      <c r="G95" t="s">
        <v>141</v>
      </c>
      <c r="H95" t="s">
        <v>958</v>
      </c>
      <c r="I95" s="2" t="s">
        <v>141</v>
      </c>
      <c r="J95" s="13">
        <v>0.38657407407407407</v>
      </c>
    </row>
    <row r="96" spans="1:10" x14ac:dyDescent="0.35">
      <c r="A96" s="27">
        <v>2435825</v>
      </c>
      <c r="B96" t="s">
        <v>309</v>
      </c>
      <c r="C96" t="s">
        <v>317</v>
      </c>
      <c r="D96" t="s">
        <v>310</v>
      </c>
      <c r="E96" t="s">
        <v>959</v>
      </c>
      <c r="F96" t="s">
        <v>318</v>
      </c>
      <c r="G96" t="s">
        <v>319</v>
      </c>
      <c r="H96" t="s">
        <v>960</v>
      </c>
      <c r="I96" s="2" t="s">
        <v>141</v>
      </c>
      <c r="J96" s="13">
        <v>0.41666666666666669</v>
      </c>
    </row>
    <row r="97" spans="1:10" x14ac:dyDescent="0.35">
      <c r="A97" s="27">
        <v>2450449</v>
      </c>
      <c r="B97" t="s">
        <v>309</v>
      </c>
      <c r="C97" t="s">
        <v>323</v>
      </c>
      <c r="D97" t="s">
        <v>310</v>
      </c>
      <c r="E97" t="s">
        <v>959</v>
      </c>
      <c r="F97" t="s">
        <v>324</v>
      </c>
      <c r="G97" t="s">
        <v>325</v>
      </c>
      <c r="H97" t="s">
        <v>961</v>
      </c>
      <c r="I97" s="6">
        <v>45602</v>
      </c>
      <c r="J97" s="13">
        <v>0.68306712962962968</v>
      </c>
    </row>
    <row r="98" spans="1:10" x14ac:dyDescent="0.35">
      <c r="A98" s="27">
        <v>2496948</v>
      </c>
      <c r="B98" t="s">
        <v>21</v>
      </c>
      <c r="C98" t="s">
        <v>22</v>
      </c>
      <c r="D98" t="s">
        <v>56</v>
      </c>
      <c r="E98" t="s">
        <v>959</v>
      </c>
      <c r="F98" t="s">
        <v>722</v>
      </c>
      <c r="G98" t="s">
        <v>265</v>
      </c>
      <c r="H98" t="s">
        <v>962</v>
      </c>
      <c r="I98" s="2" t="s">
        <v>141</v>
      </c>
      <c r="J98" s="13">
        <v>0.41666666666666669</v>
      </c>
    </row>
    <row r="99" spans="1:10" x14ac:dyDescent="0.35">
      <c r="A99" s="27">
        <v>2496950</v>
      </c>
      <c r="B99" t="s">
        <v>21</v>
      </c>
      <c r="C99" t="s">
        <v>22</v>
      </c>
      <c r="D99" t="s">
        <v>56</v>
      </c>
      <c r="E99" t="s">
        <v>959</v>
      </c>
      <c r="F99" t="s">
        <v>57</v>
      </c>
      <c r="G99" t="s">
        <v>265</v>
      </c>
      <c r="H99" t="s">
        <v>963</v>
      </c>
      <c r="I99" s="2" t="s">
        <v>141</v>
      </c>
      <c r="J99" s="13">
        <v>0.61356481481481484</v>
      </c>
    </row>
    <row r="100" spans="1:10" x14ac:dyDescent="0.35">
      <c r="A100" s="27">
        <v>2501480</v>
      </c>
      <c r="B100" t="s">
        <v>21</v>
      </c>
      <c r="C100" t="s">
        <v>22</v>
      </c>
      <c r="D100" t="s">
        <v>56</v>
      </c>
      <c r="E100" t="s">
        <v>959</v>
      </c>
      <c r="F100" t="s">
        <v>57</v>
      </c>
      <c r="G100" t="s">
        <v>329</v>
      </c>
      <c r="H100" t="s">
        <v>964</v>
      </c>
      <c r="I100" s="6">
        <v>45602</v>
      </c>
      <c r="J100" s="13">
        <v>0.72251157407407407</v>
      </c>
    </row>
    <row r="101" spans="1:10" x14ac:dyDescent="0.35">
      <c r="A101" s="27">
        <v>2531099</v>
      </c>
      <c r="B101" t="s">
        <v>309</v>
      </c>
      <c r="C101" t="s">
        <v>965</v>
      </c>
      <c r="D101" t="s">
        <v>310</v>
      </c>
      <c r="E101" t="s">
        <v>959</v>
      </c>
      <c r="F101" t="s">
        <v>966</v>
      </c>
      <c r="G101" t="s">
        <v>659</v>
      </c>
      <c r="H101" t="s">
        <v>967</v>
      </c>
      <c r="I101" s="6">
        <v>45602</v>
      </c>
      <c r="J101" s="13">
        <v>0.68358796296296298</v>
      </c>
    </row>
    <row r="102" spans="1:10" x14ac:dyDescent="0.35">
      <c r="A102" s="27">
        <v>2557241</v>
      </c>
      <c r="B102" t="s">
        <v>21</v>
      </c>
      <c r="C102" t="s">
        <v>22</v>
      </c>
      <c r="D102" t="s">
        <v>56</v>
      </c>
      <c r="E102" t="s">
        <v>959</v>
      </c>
      <c r="F102" t="s">
        <v>57</v>
      </c>
      <c r="G102" t="s">
        <v>92</v>
      </c>
      <c r="H102" t="s">
        <v>968</v>
      </c>
      <c r="I102" s="6">
        <v>45602</v>
      </c>
      <c r="J102" s="13">
        <v>0.72387731481481477</v>
      </c>
    </row>
    <row r="103" spans="1:10" x14ac:dyDescent="0.35">
      <c r="A103" s="27">
        <v>2563623</v>
      </c>
      <c r="B103" t="s">
        <v>21</v>
      </c>
      <c r="C103" t="s">
        <v>22</v>
      </c>
      <c r="D103" t="s">
        <v>56</v>
      </c>
      <c r="E103" t="s">
        <v>959</v>
      </c>
      <c r="F103" t="s">
        <v>57</v>
      </c>
      <c r="G103" t="s">
        <v>58</v>
      </c>
      <c r="H103" t="s">
        <v>969</v>
      </c>
      <c r="I103" s="6">
        <v>45632</v>
      </c>
      <c r="J103" s="13">
        <v>0.71439814814814817</v>
      </c>
    </row>
    <row r="104" spans="1:10" x14ac:dyDescent="0.35">
      <c r="A104" s="27">
        <v>2582821</v>
      </c>
      <c r="B104" t="s">
        <v>309</v>
      </c>
      <c r="C104" t="s">
        <v>331</v>
      </c>
      <c r="D104" t="s">
        <v>310</v>
      </c>
      <c r="E104" t="s">
        <v>959</v>
      </c>
      <c r="F104" t="s">
        <v>332</v>
      </c>
      <c r="G104" t="s">
        <v>333</v>
      </c>
      <c r="H104" t="s">
        <v>970</v>
      </c>
      <c r="I104" s="6">
        <v>45602</v>
      </c>
      <c r="J104" s="13">
        <v>0.68459490740740736</v>
      </c>
    </row>
    <row r="105" spans="1:10" x14ac:dyDescent="0.35">
      <c r="A105" s="27">
        <v>2587920</v>
      </c>
      <c r="B105" t="s">
        <v>309</v>
      </c>
      <c r="C105" t="s">
        <v>361</v>
      </c>
      <c r="D105" t="s">
        <v>310</v>
      </c>
      <c r="E105" t="s">
        <v>959</v>
      </c>
      <c r="F105" t="s">
        <v>971</v>
      </c>
      <c r="G105" t="s">
        <v>972</v>
      </c>
      <c r="H105" t="s">
        <v>973</v>
      </c>
      <c r="I105" s="6">
        <v>45632</v>
      </c>
      <c r="J105" s="13">
        <v>0.71591435185185182</v>
      </c>
    </row>
    <row r="106" spans="1:10" x14ac:dyDescent="0.35">
      <c r="A106" s="27">
        <v>2611145</v>
      </c>
      <c r="B106" t="s">
        <v>21</v>
      </c>
      <c r="C106" t="s">
        <v>22</v>
      </c>
      <c r="D106" t="s">
        <v>56</v>
      </c>
      <c r="E106" t="s">
        <v>959</v>
      </c>
      <c r="F106" t="s">
        <v>57</v>
      </c>
      <c r="G106" t="s">
        <v>98</v>
      </c>
      <c r="H106" t="s">
        <v>974</v>
      </c>
      <c r="I106" s="6">
        <v>45602</v>
      </c>
      <c r="J106" s="13">
        <v>0.6859143518518519</v>
      </c>
    </row>
    <row r="107" spans="1:10" x14ac:dyDescent="0.35">
      <c r="A107" s="27">
        <v>2671809</v>
      </c>
      <c r="B107" t="s">
        <v>309</v>
      </c>
      <c r="C107" t="s">
        <v>975</v>
      </c>
      <c r="D107" t="s">
        <v>310</v>
      </c>
      <c r="E107" t="s">
        <v>959</v>
      </c>
      <c r="F107" t="s">
        <v>976</v>
      </c>
      <c r="G107" t="s">
        <v>94</v>
      </c>
      <c r="H107" t="s">
        <v>977</v>
      </c>
      <c r="I107" s="6">
        <v>45632</v>
      </c>
      <c r="J107" s="13">
        <v>0.71681712962962962</v>
      </c>
    </row>
    <row r="108" spans="1:10" x14ac:dyDescent="0.35">
      <c r="A108" s="27">
        <v>2702413</v>
      </c>
      <c r="B108" t="s">
        <v>309</v>
      </c>
      <c r="C108" t="s">
        <v>361</v>
      </c>
      <c r="D108" t="s">
        <v>310</v>
      </c>
      <c r="E108" t="s">
        <v>959</v>
      </c>
      <c r="F108" t="s">
        <v>362</v>
      </c>
      <c r="G108" t="s">
        <v>85</v>
      </c>
      <c r="H108" t="s">
        <v>960</v>
      </c>
      <c r="I108" s="6">
        <v>45602</v>
      </c>
      <c r="J108" s="13">
        <v>0.72565972222222219</v>
      </c>
    </row>
    <row r="109" spans="1:10" x14ac:dyDescent="0.35">
      <c r="A109" s="27">
        <v>2723306</v>
      </c>
      <c r="B109" t="s">
        <v>309</v>
      </c>
      <c r="C109" t="s">
        <v>363</v>
      </c>
      <c r="D109" t="s">
        <v>310</v>
      </c>
      <c r="E109" t="s">
        <v>959</v>
      </c>
      <c r="F109" t="s">
        <v>364</v>
      </c>
      <c r="G109" t="s">
        <v>126</v>
      </c>
      <c r="H109" t="s">
        <v>978</v>
      </c>
      <c r="I109" s="6">
        <v>45632</v>
      </c>
      <c r="J109" s="13">
        <v>0.39869212962962963</v>
      </c>
    </row>
    <row r="110" spans="1:10" x14ac:dyDescent="0.35">
      <c r="A110" s="27">
        <v>2800513</v>
      </c>
      <c r="B110" t="s">
        <v>21</v>
      </c>
      <c r="C110" t="s">
        <v>22</v>
      </c>
      <c r="D110" t="s">
        <v>56</v>
      </c>
      <c r="E110" t="s">
        <v>959</v>
      </c>
      <c r="F110" t="s">
        <v>57</v>
      </c>
      <c r="G110" t="s">
        <v>95</v>
      </c>
      <c r="H110" t="s">
        <v>979</v>
      </c>
      <c r="I110" s="6">
        <v>45602</v>
      </c>
      <c r="J110" s="13">
        <v>0.68762731481481476</v>
      </c>
    </row>
    <row r="111" spans="1:10" x14ac:dyDescent="0.35">
      <c r="A111" s="27">
        <v>2850694</v>
      </c>
      <c r="B111" t="s">
        <v>356</v>
      </c>
      <c r="C111" t="s">
        <v>980</v>
      </c>
      <c r="D111" t="s">
        <v>981</v>
      </c>
      <c r="E111" t="s">
        <v>959</v>
      </c>
      <c r="F111" t="s">
        <v>982</v>
      </c>
      <c r="G111" t="s">
        <v>90</v>
      </c>
      <c r="H111" t="s">
        <v>983</v>
      </c>
      <c r="I111" s="6">
        <v>45632</v>
      </c>
      <c r="J111" s="13">
        <v>0.34388888888888891</v>
      </c>
    </row>
    <row r="112" spans="1:10" x14ac:dyDescent="0.35">
      <c r="A112" s="27">
        <v>2857069</v>
      </c>
      <c r="B112" t="s">
        <v>984</v>
      </c>
      <c r="C112" t="s">
        <v>985</v>
      </c>
      <c r="D112" t="s">
        <v>981</v>
      </c>
      <c r="E112" t="s">
        <v>959</v>
      </c>
      <c r="F112" t="s">
        <v>986</v>
      </c>
      <c r="G112" t="s">
        <v>99</v>
      </c>
      <c r="H112" t="s">
        <v>983</v>
      </c>
      <c r="I112" s="6">
        <v>45632</v>
      </c>
      <c r="J112" s="13">
        <v>0.34432870370370372</v>
      </c>
    </row>
    <row r="113" spans="1:10" x14ac:dyDescent="0.35">
      <c r="A113" s="27">
        <v>2862399</v>
      </c>
      <c r="B113" t="s">
        <v>309</v>
      </c>
      <c r="C113" t="s">
        <v>363</v>
      </c>
      <c r="D113" t="s">
        <v>310</v>
      </c>
      <c r="E113" t="s">
        <v>959</v>
      </c>
      <c r="F113" t="s">
        <v>726</v>
      </c>
      <c r="G113" t="s">
        <v>102</v>
      </c>
      <c r="H113" t="s">
        <v>987</v>
      </c>
      <c r="I113" s="6">
        <v>45632</v>
      </c>
      <c r="J113" s="13">
        <v>0.71807870370370375</v>
      </c>
    </row>
    <row r="114" spans="1:10" x14ac:dyDescent="0.35">
      <c r="A114" s="27">
        <v>2875729</v>
      </c>
      <c r="B114" t="s">
        <v>309</v>
      </c>
      <c r="C114" t="s">
        <v>363</v>
      </c>
      <c r="D114" t="s">
        <v>310</v>
      </c>
      <c r="E114" t="s">
        <v>959</v>
      </c>
      <c r="F114" t="s">
        <v>988</v>
      </c>
      <c r="G114" t="s">
        <v>139</v>
      </c>
      <c r="H114" t="s">
        <v>989</v>
      </c>
      <c r="I114" s="6">
        <v>45632</v>
      </c>
      <c r="J114" s="13">
        <v>0.41332175925925924</v>
      </c>
    </row>
    <row r="115" spans="1:10" x14ac:dyDescent="0.35">
      <c r="A115" s="27">
        <v>2881923</v>
      </c>
      <c r="B115" t="s">
        <v>309</v>
      </c>
      <c r="C115" t="s">
        <v>990</v>
      </c>
      <c r="D115" t="s">
        <v>310</v>
      </c>
      <c r="E115" t="s">
        <v>959</v>
      </c>
      <c r="F115" t="s">
        <v>991</v>
      </c>
      <c r="G115" t="s">
        <v>116</v>
      </c>
      <c r="H115" t="s">
        <v>992</v>
      </c>
      <c r="I115" s="2" t="s">
        <v>141</v>
      </c>
      <c r="J115" s="13">
        <v>0.48851851851851852</v>
      </c>
    </row>
    <row r="116" spans="1:10" x14ac:dyDescent="0.35">
      <c r="A116" s="27">
        <v>2883200</v>
      </c>
      <c r="B116" t="s">
        <v>309</v>
      </c>
      <c r="C116" t="s">
        <v>513</v>
      </c>
      <c r="D116" t="s">
        <v>310</v>
      </c>
      <c r="E116" t="s">
        <v>959</v>
      </c>
      <c r="F116" t="s">
        <v>514</v>
      </c>
      <c r="G116" t="s">
        <v>78</v>
      </c>
      <c r="H116" t="s">
        <v>993</v>
      </c>
      <c r="I116" s="2" t="s">
        <v>141</v>
      </c>
      <c r="J116" s="13">
        <v>0.48898148148148146</v>
      </c>
    </row>
    <row r="117" spans="1:10" x14ac:dyDescent="0.35">
      <c r="A117" s="27">
        <v>2885449</v>
      </c>
      <c r="B117" t="s">
        <v>309</v>
      </c>
      <c r="C117" t="s">
        <v>994</v>
      </c>
      <c r="D117" t="s">
        <v>310</v>
      </c>
      <c r="E117" t="s">
        <v>959</v>
      </c>
      <c r="F117" t="s">
        <v>995</v>
      </c>
      <c r="G117" t="s">
        <v>78</v>
      </c>
      <c r="H117" t="s">
        <v>996</v>
      </c>
      <c r="I117" s="2" t="s">
        <v>141</v>
      </c>
      <c r="J117" s="13">
        <v>0.48981481481481481</v>
      </c>
    </row>
    <row r="118" spans="1:10" x14ac:dyDescent="0.35">
      <c r="A118" s="27">
        <v>2887972</v>
      </c>
      <c r="B118" t="s">
        <v>984</v>
      </c>
      <c r="C118" t="s">
        <v>997</v>
      </c>
      <c r="D118" t="s">
        <v>981</v>
      </c>
      <c r="E118" t="s">
        <v>959</v>
      </c>
      <c r="F118" t="s">
        <v>998</v>
      </c>
      <c r="G118" t="s">
        <v>124</v>
      </c>
      <c r="H118" t="s">
        <v>983</v>
      </c>
      <c r="I118" s="2" t="s">
        <v>141</v>
      </c>
      <c r="J118" s="13">
        <v>0.49034722222222221</v>
      </c>
    </row>
    <row r="119" spans="1:10" x14ac:dyDescent="0.35">
      <c r="A119" s="27">
        <v>2888735</v>
      </c>
      <c r="B119" t="s">
        <v>356</v>
      </c>
      <c r="C119" t="s">
        <v>374</v>
      </c>
      <c r="D119" t="s">
        <v>357</v>
      </c>
      <c r="E119" t="s">
        <v>959</v>
      </c>
      <c r="F119" t="s">
        <v>740</v>
      </c>
      <c r="G119" t="s">
        <v>124</v>
      </c>
      <c r="H119" t="s">
        <v>999</v>
      </c>
      <c r="I119" s="2" t="s">
        <v>141</v>
      </c>
      <c r="J119" s="13">
        <v>0.49077546296296298</v>
      </c>
    </row>
    <row r="120" spans="1:10" x14ac:dyDescent="0.35">
      <c r="A120" s="27">
        <v>2895142</v>
      </c>
      <c r="B120" t="s">
        <v>23</v>
      </c>
      <c r="C120" t="s">
        <v>1000</v>
      </c>
      <c r="D120" t="s">
        <v>357</v>
      </c>
      <c r="E120" t="s">
        <v>959</v>
      </c>
      <c r="F120" t="s">
        <v>1001</v>
      </c>
      <c r="G120" t="s">
        <v>127</v>
      </c>
      <c r="H120" t="s">
        <v>1002</v>
      </c>
      <c r="I120" s="2" t="s">
        <v>141</v>
      </c>
      <c r="J120" s="13">
        <v>0.49122685185185183</v>
      </c>
    </row>
    <row r="121" spans="1:10" x14ac:dyDescent="0.35">
      <c r="A121" s="27">
        <v>2895178</v>
      </c>
      <c r="B121" t="s">
        <v>356</v>
      </c>
      <c r="C121" t="s">
        <v>1000</v>
      </c>
      <c r="D121" t="s">
        <v>357</v>
      </c>
      <c r="E121" t="s">
        <v>959</v>
      </c>
      <c r="F121" t="s">
        <v>1003</v>
      </c>
      <c r="G121" t="s">
        <v>127</v>
      </c>
      <c r="H121" t="s">
        <v>1004</v>
      </c>
      <c r="I121" s="2" t="s">
        <v>141</v>
      </c>
      <c r="J121" s="13">
        <v>0.49164351851851851</v>
      </c>
    </row>
    <row r="122" spans="1:10" x14ac:dyDescent="0.35">
      <c r="A122" s="27">
        <v>2895226</v>
      </c>
      <c r="B122" t="s">
        <v>356</v>
      </c>
      <c r="C122" t="s">
        <v>1000</v>
      </c>
      <c r="D122" t="s">
        <v>357</v>
      </c>
      <c r="E122" t="s">
        <v>959</v>
      </c>
      <c r="F122" t="s">
        <v>1003</v>
      </c>
      <c r="G122" t="s">
        <v>127</v>
      </c>
      <c r="H122" t="s">
        <v>1004</v>
      </c>
      <c r="I122" s="2" t="s">
        <v>141</v>
      </c>
      <c r="J122" s="13">
        <v>0.49209490740740741</v>
      </c>
    </row>
    <row r="123" spans="1:10" x14ac:dyDescent="0.35">
      <c r="A123" s="27">
        <v>2895271</v>
      </c>
      <c r="B123" t="s">
        <v>356</v>
      </c>
      <c r="C123" t="s">
        <v>1005</v>
      </c>
      <c r="D123" t="s">
        <v>357</v>
      </c>
      <c r="E123" t="s">
        <v>959</v>
      </c>
      <c r="F123" t="s">
        <v>1006</v>
      </c>
      <c r="G123" t="s">
        <v>127</v>
      </c>
      <c r="H123" t="s">
        <v>1007</v>
      </c>
      <c r="I123" s="2" t="s">
        <v>141</v>
      </c>
      <c r="J123" s="13">
        <v>0.55962962962962959</v>
      </c>
    </row>
    <row r="124" spans="1:10" x14ac:dyDescent="0.35">
      <c r="A124" s="27">
        <v>2895281</v>
      </c>
      <c r="B124" t="s">
        <v>23</v>
      </c>
      <c r="C124" t="s">
        <v>1000</v>
      </c>
      <c r="D124" t="s">
        <v>357</v>
      </c>
      <c r="E124" t="s">
        <v>959</v>
      </c>
      <c r="F124" t="s">
        <v>1001</v>
      </c>
      <c r="G124" t="s">
        <v>127</v>
      </c>
      <c r="H124" t="s">
        <v>1008</v>
      </c>
      <c r="I124" s="6">
        <v>45632</v>
      </c>
      <c r="J124" s="13">
        <v>0.46429398148148149</v>
      </c>
    </row>
    <row r="125" spans="1:10" x14ac:dyDescent="0.35">
      <c r="A125" s="27">
        <v>2895290</v>
      </c>
      <c r="B125" t="s">
        <v>23</v>
      </c>
      <c r="C125" t="s">
        <v>1000</v>
      </c>
      <c r="D125" t="s">
        <v>357</v>
      </c>
      <c r="E125" t="s">
        <v>959</v>
      </c>
      <c r="F125" t="s">
        <v>1001</v>
      </c>
      <c r="G125" t="s">
        <v>127</v>
      </c>
      <c r="H125" t="s">
        <v>1008</v>
      </c>
      <c r="I125" s="6">
        <v>45632</v>
      </c>
      <c r="J125" s="13">
        <v>0.59082175925925928</v>
      </c>
    </row>
    <row r="126" spans="1:10" x14ac:dyDescent="0.35">
      <c r="A126" s="27">
        <v>2895306</v>
      </c>
      <c r="B126" t="s">
        <v>23</v>
      </c>
      <c r="C126" t="s">
        <v>1000</v>
      </c>
      <c r="D126" t="s">
        <v>357</v>
      </c>
      <c r="E126" t="s">
        <v>959</v>
      </c>
      <c r="F126" t="s">
        <v>1009</v>
      </c>
      <c r="G126" t="s">
        <v>127</v>
      </c>
      <c r="H126" t="s">
        <v>1008</v>
      </c>
      <c r="I126" s="6">
        <v>45632</v>
      </c>
      <c r="J126" s="13">
        <v>0.41666666666666669</v>
      </c>
    </row>
    <row r="127" spans="1:10" x14ac:dyDescent="0.35">
      <c r="A127" s="27">
        <v>2895341</v>
      </c>
      <c r="B127" t="s">
        <v>23</v>
      </c>
      <c r="C127" t="s">
        <v>1000</v>
      </c>
      <c r="D127" t="s">
        <v>357</v>
      </c>
      <c r="E127" t="s">
        <v>959</v>
      </c>
      <c r="F127" t="s">
        <v>1010</v>
      </c>
      <c r="G127" t="s">
        <v>127</v>
      </c>
      <c r="H127" t="s">
        <v>1008</v>
      </c>
      <c r="I127" s="6">
        <v>45632</v>
      </c>
      <c r="J127" s="13">
        <v>0.41666666666666669</v>
      </c>
    </row>
    <row r="128" spans="1:10" x14ac:dyDescent="0.35">
      <c r="A128" s="27">
        <v>2895378</v>
      </c>
      <c r="B128" t="s">
        <v>23</v>
      </c>
      <c r="C128" t="s">
        <v>371</v>
      </c>
      <c r="D128" t="s">
        <v>357</v>
      </c>
      <c r="E128" t="s">
        <v>959</v>
      </c>
      <c r="F128" t="s">
        <v>1011</v>
      </c>
      <c r="G128" t="s">
        <v>127</v>
      </c>
      <c r="H128" t="s">
        <v>1012</v>
      </c>
      <c r="I128" s="2" t="s">
        <v>141</v>
      </c>
      <c r="J128" s="13">
        <v>0.56268518518518518</v>
      </c>
    </row>
    <row r="129" spans="1:10" x14ac:dyDescent="0.35">
      <c r="A129" s="27">
        <v>2895379</v>
      </c>
      <c r="B129" t="s">
        <v>23</v>
      </c>
      <c r="C129" t="s">
        <v>371</v>
      </c>
      <c r="D129" t="s">
        <v>357</v>
      </c>
      <c r="E129" t="s">
        <v>959</v>
      </c>
      <c r="F129" t="s">
        <v>1011</v>
      </c>
      <c r="G129" t="s">
        <v>127</v>
      </c>
      <c r="H129" t="s">
        <v>1013</v>
      </c>
      <c r="I129" s="6">
        <v>45632</v>
      </c>
      <c r="J129" s="13">
        <v>0.47979166666666667</v>
      </c>
    </row>
    <row r="130" spans="1:10" x14ac:dyDescent="0.35">
      <c r="A130" s="27">
        <v>2895380</v>
      </c>
      <c r="B130" t="s">
        <v>23</v>
      </c>
      <c r="C130" t="s">
        <v>371</v>
      </c>
      <c r="D130" t="s">
        <v>357</v>
      </c>
      <c r="E130" t="s">
        <v>959</v>
      </c>
      <c r="F130" t="s">
        <v>1011</v>
      </c>
      <c r="G130" t="s">
        <v>127</v>
      </c>
      <c r="H130" t="s">
        <v>1014</v>
      </c>
      <c r="I130" s="6">
        <v>45632</v>
      </c>
      <c r="J130" s="13">
        <v>0.61452546296296295</v>
      </c>
    </row>
    <row r="131" spans="1:10" x14ac:dyDescent="0.35">
      <c r="A131" s="27">
        <v>2895381</v>
      </c>
      <c r="B131" t="s">
        <v>23</v>
      </c>
      <c r="C131" t="s">
        <v>371</v>
      </c>
      <c r="D131" t="s">
        <v>357</v>
      </c>
      <c r="E131" t="s">
        <v>959</v>
      </c>
      <c r="F131" t="s">
        <v>1011</v>
      </c>
      <c r="G131" t="s">
        <v>127</v>
      </c>
      <c r="H131" t="s">
        <v>1015</v>
      </c>
      <c r="I131" s="6">
        <v>45632</v>
      </c>
      <c r="J131" s="13">
        <v>0.6893055555555555</v>
      </c>
    </row>
    <row r="132" spans="1:10" x14ac:dyDescent="0.35">
      <c r="A132" s="27">
        <v>2895382</v>
      </c>
      <c r="B132" t="s">
        <v>23</v>
      </c>
      <c r="C132" t="s">
        <v>371</v>
      </c>
      <c r="D132" t="s">
        <v>357</v>
      </c>
      <c r="E132" t="s">
        <v>959</v>
      </c>
      <c r="F132" t="s">
        <v>1011</v>
      </c>
      <c r="G132" t="s">
        <v>127</v>
      </c>
      <c r="H132" t="s">
        <v>1016</v>
      </c>
      <c r="I132" s="6">
        <v>45632</v>
      </c>
      <c r="J132" s="13">
        <v>0.7044907407407407</v>
      </c>
    </row>
    <row r="133" spans="1:10" x14ac:dyDescent="0.35">
      <c r="A133" s="27">
        <v>2895383</v>
      </c>
      <c r="B133" t="s">
        <v>23</v>
      </c>
      <c r="C133" t="s">
        <v>371</v>
      </c>
      <c r="D133" t="s">
        <v>357</v>
      </c>
      <c r="E133" t="s">
        <v>959</v>
      </c>
      <c r="F133" t="s">
        <v>1011</v>
      </c>
      <c r="G133" t="s">
        <v>127</v>
      </c>
      <c r="H133" t="s">
        <v>1017</v>
      </c>
      <c r="I133" s="2" t="s">
        <v>141</v>
      </c>
      <c r="J133" s="13">
        <v>0.59642361111111108</v>
      </c>
    </row>
    <row r="134" spans="1:10" x14ac:dyDescent="0.35">
      <c r="A134" s="27">
        <v>2895384</v>
      </c>
      <c r="B134" t="s">
        <v>23</v>
      </c>
      <c r="C134" t="s">
        <v>371</v>
      </c>
      <c r="D134" t="s">
        <v>357</v>
      </c>
      <c r="E134" t="s">
        <v>959</v>
      </c>
      <c r="F134" t="s">
        <v>1011</v>
      </c>
      <c r="G134" t="s">
        <v>127</v>
      </c>
      <c r="H134" t="s">
        <v>1018</v>
      </c>
      <c r="I134" s="6">
        <v>45632</v>
      </c>
      <c r="J134" s="13">
        <v>0.66666666666666663</v>
      </c>
    </row>
    <row r="135" spans="1:10" x14ac:dyDescent="0.35">
      <c r="A135" s="27">
        <v>2895385</v>
      </c>
      <c r="B135" t="s">
        <v>23</v>
      </c>
      <c r="C135" t="s">
        <v>371</v>
      </c>
      <c r="D135" t="s">
        <v>357</v>
      </c>
      <c r="E135" t="s">
        <v>959</v>
      </c>
      <c r="F135" t="s">
        <v>1011</v>
      </c>
      <c r="G135" t="s">
        <v>127</v>
      </c>
      <c r="H135" t="s">
        <v>1019</v>
      </c>
      <c r="I135" s="2" t="s">
        <v>141</v>
      </c>
      <c r="J135" s="13">
        <v>0.47401620370370373</v>
      </c>
    </row>
    <row r="136" spans="1:10" x14ac:dyDescent="0.35">
      <c r="A136" s="27">
        <v>2895386</v>
      </c>
      <c r="B136" t="s">
        <v>23</v>
      </c>
      <c r="C136" t="s">
        <v>371</v>
      </c>
      <c r="D136" t="s">
        <v>357</v>
      </c>
      <c r="E136" t="s">
        <v>959</v>
      </c>
      <c r="F136" t="s">
        <v>1011</v>
      </c>
      <c r="G136" t="s">
        <v>127</v>
      </c>
      <c r="H136" t="s">
        <v>1020</v>
      </c>
      <c r="I136" s="2" t="s">
        <v>141</v>
      </c>
      <c r="J136" s="13">
        <v>0.3853935185185185</v>
      </c>
    </row>
    <row r="137" spans="1:10" x14ac:dyDescent="0.35">
      <c r="A137" s="27">
        <v>2895387</v>
      </c>
      <c r="B137" t="s">
        <v>23</v>
      </c>
      <c r="C137" t="s">
        <v>371</v>
      </c>
      <c r="D137" t="s">
        <v>357</v>
      </c>
      <c r="E137" t="s">
        <v>959</v>
      </c>
      <c r="F137" t="s">
        <v>1011</v>
      </c>
      <c r="G137" t="s">
        <v>127</v>
      </c>
      <c r="H137" t="s">
        <v>1021</v>
      </c>
      <c r="I137" s="2" t="s">
        <v>141</v>
      </c>
      <c r="J137" s="13">
        <v>0.47437499999999999</v>
      </c>
    </row>
    <row r="138" spans="1:10" x14ac:dyDescent="0.35">
      <c r="A138" s="27">
        <v>2895494</v>
      </c>
      <c r="B138" t="s">
        <v>356</v>
      </c>
      <c r="C138" t="s">
        <v>1005</v>
      </c>
      <c r="D138" t="s">
        <v>357</v>
      </c>
      <c r="E138" t="s">
        <v>959</v>
      </c>
      <c r="F138" t="s">
        <v>1006</v>
      </c>
      <c r="G138" t="s">
        <v>127</v>
      </c>
      <c r="H138" t="s">
        <v>1022</v>
      </c>
      <c r="I138" s="6">
        <v>45632</v>
      </c>
      <c r="J138" s="13">
        <v>0.66666666666666663</v>
      </c>
    </row>
    <row r="139" spans="1:10" x14ac:dyDescent="0.35">
      <c r="A139" s="27">
        <v>2896032</v>
      </c>
      <c r="B139" t="s">
        <v>23</v>
      </c>
      <c r="C139" t="s">
        <v>368</v>
      </c>
      <c r="D139" t="s">
        <v>357</v>
      </c>
      <c r="E139" t="s">
        <v>959</v>
      </c>
      <c r="F139" t="s">
        <v>1023</v>
      </c>
      <c r="G139" t="s">
        <v>141</v>
      </c>
      <c r="H139" t="s">
        <v>1024</v>
      </c>
      <c r="I139" s="6">
        <v>45632</v>
      </c>
      <c r="J139" s="13">
        <v>0.71105324074074072</v>
      </c>
    </row>
    <row r="140" spans="1:10" x14ac:dyDescent="0.35">
      <c r="A140" s="27">
        <v>2896063</v>
      </c>
      <c r="B140" t="s">
        <v>23</v>
      </c>
      <c r="C140" t="s">
        <v>368</v>
      </c>
      <c r="D140" t="s">
        <v>357</v>
      </c>
      <c r="E140" t="s">
        <v>959</v>
      </c>
      <c r="F140" t="s">
        <v>1023</v>
      </c>
      <c r="G140" t="s">
        <v>141</v>
      </c>
      <c r="H140" t="s">
        <v>1024</v>
      </c>
      <c r="I140" s="6">
        <v>45632</v>
      </c>
      <c r="J140" s="13">
        <v>0.66666666666666663</v>
      </c>
    </row>
    <row r="141" spans="1:10" x14ac:dyDescent="0.35">
      <c r="A141" s="27">
        <v>2896185</v>
      </c>
      <c r="B141" t="s">
        <v>23</v>
      </c>
      <c r="C141" t="s">
        <v>1025</v>
      </c>
      <c r="D141" t="s">
        <v>357</v>
      </c>
      <c r="E141" t="s">
        <v>959</v>
      </c>
      <c r="F141" t="s">
        <v>1026</v>
      </c>
      <c r="G141" t="s">
        <v>141</v>
      </c>
      <c r="H141" t="s">
        <v>1027</v>
      </c>
      <c r="I141" s="6">
        <v>45632</v>
      </c>
      <c r="J141" s="13">
        <v>0.66666666666666663</v>
      </c>
    </row>
    <row r="142" spans="1:10" x14ac:dyDescent="0.35">
      <c r="A142" s="27">
        <v>2896295</v>
      </c>
      <c r="B142" t="s">
        <v>23</v>
      </c>
      <c r="C142" t="s">
        <v>1025</v>
      </c>
      <c r="D142" t="s">
        <v>357</v>
      </c>
      <c r="E142" t="s">
        <v>959</v>
      </c>
      <c r="F142" t="s">
        <v>1026</v>
      </c>
      <c r="G142" t="s">
        <v>141</v>
      </c>
      <c r="H142" t="s">
        <v>1028</v>
      </c>
      <c r="I142" s="6">
        <v>45632</v>
      </c>
      <c r="J142" s="13">
        <v>0.58880787037037041</v>
      </c>
    </row>
    <row r="143" spans="1:10" x14ac:dyDescent="0.35">
      <c r="A143" s="27">
        <v>2896347</v>
      </c>
      <c r="B143" t="s">
        <v>23</v>
      </c>
      <c r="C143" t="s">
        <v>511</v>
      </c>
      <c r="D143" t="s">
        <v>357</v>
      </c>
      <c r="E143" t="s">
        <v>959</v>
      </c>
      <c r="F143" t="s">
        <v>1029</v>
      </c>
      <c r="G143" t="s">
        <v>141</v>
      </c>
      <c r="H143" t="s">
        <v>1024</v>
      </c>
      <c r="I143" s="6">
        <v>45632</v>
      </c>
      <c r="J143" s="13">
        <v>0.54937499999999995</v>
      </c>
    </row>
    <row r="144" spans="1:10" x14ac:dyDescent="0.35">
      <c r="A144" s="27">
        <v>2896399</v>
      </c>
      <c r="B144" t="s">
        <v>23</v>
      </c>
      <c r="C144" t="s">
        <v>1025</v>
      </c>
      <c r="D144" t="s">
        <v>357</v>
      </c>
      <c r="E144" t="s">
        <v>959</v>
      </c>
      <c r="F144" t="s">
        <v>1026</v>
      </c>
      <c r="G144" t="s">
        <v>141</v>
      </c>
      <c r="H144" t="s">
        <v>1030</v>
      </c>
      <c r="I144" s="2" t="s">
        <v>141</v>
      </c>
      <c r="J144" s="13">
        <v>0.47480324074074076</v>
      </c>
    </row>
    <row r="145" spans="1:10" x14ac:dyDescent="0.35">
      <c r="A145" s="27">
        <v>2896537</v>
      </c>
      <c r="B145" t="s">
        <v>356</v>
      </c>
      <c r="C145" t="s">
        <v>1031</v>
      </c>
      <c r="D145" t="s">
        <v>357</v>
      </c>
      <c r="E145" t="s">
        <v>959</v>
      </c>
      <c r="F145" t="s">
        <v>1032</v>
      </c>
      <c r="G145" t="s">
        <v>141</v>
      </c>
      <c r="H145" t="s">
        <v>1033</v>
      </c>
      <c r="I145" s="6">
        <v>45632</v>
      </c>
      <c r="J145" s="13">
        <v>0.70629629629629631</v>
      </c>
    </row>
    <row r="146" spans="1:10" x14ac:dyDescent="0.35">
      <c r="A146" s="27">
        <v>2896562</v>
      </c>
      <c r="B146" t="s">
        <v>23</v>
      </c>
      <c r="C146" t="s">
        <v>1034</v>
      </c>
      <c r="D146" t="s">
        <v>357</v>
      </c>
      <c r="E146" t="s">
        <v>959</v>
      </c>
      <c r="F146" t="s">
        <v>1035</v>
      </c>
      <c r="G146" t="s">
        <v>141</v>
      </c>
      <c r="H146" t="s">
        <v>1036</v>
      </c>
      <c r="I146" s="6">
        <v>45632</v>
      </c>
      <c r="J146" s="13">
        <v>0.62131944444444442</v>
      </c>
    </row>
    <row r="147" spans="1:10" x14ac:dyDescent="0.35">
      <c r="A147" s="27">
        <v>2896594</v>
      </c>
      <c r="B147" t="s">
        <v>23</v>
      </c>
      <c r="C147" t="s">
        <v>1034</v>
      </c>
      <c r="D147" t="s">
        <v>357</v>
      </c>
      <c r="E147" t="s">
        <v>959</v>
      </c>
      <c r="F147" t="s">
        <v>1035</v>
      </c>
      <c r="G147" t="s">
        <v>141</v>
      </c>
      <c r="H147" t="s">
        <v>1037</v>
      </c>
      <c r="I147" s="6">
        <v>45632</v>
      </c>
      <c r="J147" s="13">
        <v>0.46914351851851854</v>
      </c>
    </row>
    <row r="148" spans="1:10" x14ac:dyDescent="0.35">
      <c r="A148" s="27">
        <v>2896629</v>
      </c>
      <c r="B148" t="s">
        <v>23</v>
      </c>
      <c r="C148" t="s">
        <v>1034</v>
      </c>
      <c r="D148" t="s">
        <v>357</v>
      </c>
      <c r="E148" t="s">
        <v>959</v>
      </c>
      <c r="F148" t="s">
        <v>1035</v>
      </c>
      <c r="G148" t="s">
        <v>141</v>
      </c>
      <c r="H148" t="s">
        <v>1038</v>
      </c>
      <c r="I148" s="6">
        <v>45632</v>
      </c>
      <c r="J148" s="13">
        <v>0.4695023148148148</v>
      </c>
    </row>
    <row r="149" spans="1:10" x14ac:dyDescent="0.35">
      <c r="A149" s="27">
        <v>2896648</v>
      </c>
      <c r="B149" t="s">
        <v>23</v>
      </c>
      <c r="C149" t="s">
        <v>1034</v>
      </c>
      <c r="D149" t="s">
        <v>357</v>
      </c>
      <c r="E149" t="s">
        <v>959</v>
      </c>
      <c r="F149" t="s">
        <v>1035</v>
      </c>
      <c r="G149" t="s">
        <v>141</v>
      </c>
      <c r="H149" t="s">
        <v>1024</v>
      </c>
      <c r="I149" s="2" t="s">
        <v>141</v>
      </c>
      <c r="J149" s="13">
        <v>0.56666666666666665</v>
      </c>
    </row>
    <row r="150" spans="1:10" x14ac:dyDescent="0.35">
      <c r="A150" s="27">
        <v>2896697</v>
      </c>
      <c r="B150" t="s">
        <v>23</v>
      </c>
      <c r="C150" t="s">
        <v>1034</v>
      </c>
      <c r="D150" t="s">
        <v>357</v>
      </c>
      <c r="E150" t="s">
        <v>959</v>
      </c>
      <c r="F150" t="s">
        <v>1035</v>
      </c>
      <c r="G150" t="s">
        <v>141</v>
      </c>
      <c r="H150" t="s">
        <v>1039</v>
      </c>
      <c r="I150" s="6">
        <v>45632</v>
      </c>
      <c r="J150" s="13">
        <v>0.56011574074074078</v>
      </c>
    </row>
    <row r="151" spans="1:10" x14ac:dyDescent="0.35">
      <c r="A151" s="27">
        <v>2896933</v>
      </c>
      <c r="B151" t="s">
        <v>356</v>
      </c>
      <c r="C151" t="s">
        <v>758</v>
      </c>
      <c r="D151" t="s">
        <v>357</v>
      </c>
      <c r="E151" t="s">
        <v>959</v>
      </c>
      <c r="F151" t="s">
        <v>1040</v>
      </c>
      <c r="G151" t="s">
        <v>141</v>
      </c>
      <c r="H151" t="s">
        <v>1041</v>
      </c>
      <c r="I151" s="6">
        <v>45632</v>
      </c>
      <c r="J151" s="13">
        <v>0.56537037037037041</v>
      </c>
    </row>
    <row r="152" spans="1:10" x14ac:dyDescent="0.35">
      <c r="A152" s="27">
        <v>2896942</v>
      </c>
      <c r="B152" t="s">
        <v>23</v>
      </c>
      <c r="C152" t="s">
        <v>372</v>
      </c>
      <c r="D152" t="s">
        <v>357</v>
      </c>
      <c r="E152" t="s">
        <v>959</v>
      </c>
      <c r="F152" t="s">
        <v>1042</v>
      </c>
      <c r="G152" t="s">
        <v>141</v>
      </c>
      <c r="H152" t="s">
        <v>1043</v>
      </c>
      <c r="I152" s="6">
        <v>45632</v>
      </c>
      <c r="J152" s="13">
        <v>0.61853009259259262</v>
      </c>
    </row>
    <row r="153" spans="1:10" x14ac:dyDescent="0.35">
      <c r="A153" s="27">
        <v>2896960</v>
      </c>
      <c r="B153" t="s">
        <v>23</v>
      </c>
      <c r="C153" t="s">
        <v>372</v>
      </c>
      <c r="D153" t="s">
        <v>357</v>
      </c>
      <c r="E153" t="s">
        <v>959</v>
      </c>
      <c r="F153" t="s">
        <v>1044</v>
      </c>
      <c r="G153" t="s">
        <v>141</v>
      </c>
      <c r="H153" t="s">
        <v>1045</v>
      </c>
      <c r="I153" s="2" t="s">
        <v>141</v>
      </c>
      <c r="J153" s="13">
        <v>0.36728009259259259</v>
      </c>
    </row>
    <row r="154" spans="1:10" x14ac:dyDescent="0.35">
      <c r="A154" s="27">
        <v>2897047</v>
      </c>
      <c r="B154" t="s">
        <v>23</v>
      </c>
      <c r="C154" t="s">
        <v>372</v>
      </c>
      <c r="D154" t="s">
        <v>357</v>
      </c>
      <c r="E154" t="s">
        <v>959</v>
      </c>
      <c r="F154" t="s">
        <v>1044</v>
      </c>
      <c r="G154" t="s">
        <v>141</v>
      </c>
      <c r="H154" t="s">
        <v>1046</v>
      </c>
      <c r="I154" s="2" t="s">
        <v>141</v>
      </c>
      <c r="J154" s="13">
        <v>0.54305555555555551</v>
      </c>
    </row>
    <row r="155" spans="1:10" x14ac:dyDescent="0.35">
      <c r="A155" s="27">
        <v>2897067</v>
      </c>
      <c r="B155" t="s">
        <v>23</v>
      </c>
      <c r="C155" t="s">
        <v>1025</v>
      </c>
      <c r="D155" t="s">
        <v>357</v>
      </c>
      <c r="E155" t="s">
        <v>959</v>
      </c>
      <c r="F155" t="s">
        <v>1026</v>
      </c>
      <c r="G155" t="s">
        <v>141</v>
      </c>
      <c r="H155" t="s">
        <v>1024</v>
      </c>
      <c r="I155" s="6">
        <v>45632</v>
      </c>
      <c r="J155" s="13">
        <v>0.57208333333333339</v>
      </c>
    </row>
    <row r="156" spans="1:10" x14ac:dyDescent="0.35">
      <c r="A156" s="27">
        <v>2897069</v>
      </c>
      <c r="B156" t="s">
        <v>23</v>
      </c>
      <c r="C156" t="s">
        <v>372</v>
      </c>
      <c r="D156" t="s">
        <v>357</v>
      </c>
      <c r="E156" t="s">
        <v>959</v>
      </c>
      <c r="F156" t="s">
        <v>1042</v>
      </c>
      <c r="G156" t="s">
        <v>141</v>
      </c>
      <c r="H156" t="s">
        <v>1047</v>
      </c>
      <c r="I156" s="2" t="s">
        <v>141</v>
      </c>
      <c r="J156" s="13">
        <v>0.4064814814814815</v>
      </c>
    </row>
    <row r="157" spans="1:10" x14ac:dyDescent="0.35">
      <c r="A157" s="27">
        <v>2897078</v>
      </c>
      <c r="B157" t="s">
        <v>23</v>
      </c>
      <c r="C157" t="s">
        <v>1005</v>
      </c>
      <c r="D157" t="s">
        <v>357</v>
      </c>
      <c r="E157" t="s">
        <v>959</v>
      </c>
      <c r="F157" t="s">
        <v>1042</v>
      </c>
      <c r="G157" t="s">
        <v>141</v>
      </c>
      <c r="H157" t="s">
        <v>1048</v>
      </c>
      <c r="I157" s="2" t="s">
        <v>141</v>
      </c>
      <c r="J157" s="13">
        <v>0.41627314814814814</v>
      </c>
    </row>
    <row r="158" spans="1:10" x14ac:dyDescent="0.35">
      <c r="A158" s="27">
        <v>2897081</v>
      </c>
      <c r="B158" t="s">
        <v>23</v>
      </c>
      <c r="C158" t="s">
        <v>1005</v>
      </c>
      <c r="D158" t="s">
        <v>357</v>
      </c>
      <c r="E158" t="s">
        <v>959</v>
      </c>
      <c r="F158" t="s">
        <v>1042</v>
      </c>
      <c r="G158" t="s">
        <v>141</v>
      </c>
      <c r="H158" t="s">
        <v>1049</v>
      </c>
      <c r="I158" s="6">
        <v>45632</v>
      </c>
      <c r="J158" s="13">
        <v>0.60410879629629632</v>
      </c>
    </row>
    <row r="159" spans="1:10" x14ac:dyDescent="0.35">
      <c r="A159" s="27">
        <v>2897086</v>
      </c>
      <c r="B159" t="s">
        <v>23</v>
      </c>
      <c r="C159" t="s">
        <v>1005</v>
      </c>
      <c r="D159" t="s">
        <v>357</v>
      </c>
      <c r="E159" t="s">
        <v>959</v>
      </c>
      <c r="F159" t="s">
        <v>1042</v>
      </c>
      <c r="G159" t="s">
        <v>141</v>
      </c>
      <c r="H159" t="s">
        <v>1050</v>
      </c>
      <c r="I159" s="2" t="s">
        <v>141</v>
      </c>
      <c r="J159" s="13">
        <v>0.41666666666666669</v>
      </c>
    </row>
    <row r="160" spans="1:10" x14ac:dyDescent="0.35">
      <c r="A160" s="27">
        <v>2897105</v>
      </c>
      <c r="B160" t="s">
        <v>23</v>
      </c>
      <c r="C160" t="s">
        <v>1005</v>
      </c>
      <c r="D160" t="s">
        <v>357</v>
      </c>
      <c r="E160" t="s">
        <v>959</v>
      </c>
      <c r="F160" t="s">
        <v>1042</v>
      </c>
      <c r="G160" t="s">
        <v>141</v>
      </c>
      <c r="H160" t="s">
        <v>1051</v>
      </c>
      <c r="I160" s="6">
        <v>45632</v>
      </c>
      <c r="J160" s="13">
        <v>0.66666666666666663</v>
      </c>
    </row>
    <row r="161" spans="1:10" x14ac:dyDescent="0.35">
      <c r="A161" s="27">
        <v>2897108</v>
      </c>
      <c r="B161" t="s">
        <v>23</v>
      </c>
      <c r="C161" t="s">
        <v>1005</v>
      </c>
      <c r="D161" t="s">
        <v>357</v>
      </c>
      <c r="E161" t="s">
        <v>959</v>
      </c>
      <c r="F161" t="s">
        <v>1042</v>
      </c>
      <c r="G161" t="s">
        <v>141</v>
      </c>
      <c r="H161" t="s">
        <v>1052</v>
      </c>
      <c r="I161" s="6">
        <v>45632</v>
      </c>
      <c r="J161" s="13">
        <v>0.66666666666666663</v>
      </c>
    </row>
    <row r="162" spans="1:10" x14ac:dyDescent="0.35">
      <c r="A162" s="27">
        <v>2897109</v>
      </c>
      <c r="B162" t="s">
        <v>23</v>
      </c>
      <c r="C162" t="s">
        <v>1005</v>
      </c>
      <c r="D162" t="s">
        <v>357</v>
      </c>
      <c r="E162" t="s">
        <v>959</v>
      </c>
      <c r="F162" t="s">
        <v>1042</v>
      </c>
      <c r="G162" t="s">
        <v>141</v>
      </c>
      <c r="H162" t="s">
        <v>1053</v>
      </c>
      <c r="I162" s="2" t="s">
        <v>141</v>
      </c>
      <c r="J162" s="13">
        <v>0.39622685185185186</v>
      </c>
    </row>
    <row r="163" spans="1:10" x14ac:dyDescent="0.35">
      <c r="A163" s="27">
        <v>2897138</v>
      </c>
      <c r="B163" t="s">
        <v>23</v>
      </c>
      <c r="C163" t="s">
        <v>1005</v>
      </c>
      <c r="D163" t="s">
        <v>357</v>
      </c>
      <c r="E163" t="s">
        <v>959</v>
      </c>
      <c r="F163" t="s">
        <v>1042</v>
      </c>
      <c r="G163" t="s">
        <v>141</v>
      </c>
      <c r="H163" t="s">
        <v>1054</v>
      </c>
      <c r="I163" s="6">
        <v>45632</v>
      </c>
      <c r="J163" s="13">
        <v>0.64516203703703701</v>
      </c>
    </row>
    <row r="164" spans="1:10" x14ac:dyDescent="0.35">
      <c r="A164" s="27">
        <v>2897144</v>
      </c>
      <c r="B164" t="s">
        <v>23</v>
      </c>
      <c r="C164" t="s">
        <v>1005</v>
      </c>
      <c r="D164" t="s">
        <v>357</v>
      </c>
      <c r="E164" t="s">
        <v>959</v>
      </c>
      <c r="F164" t="s">
        <v>1042</v>
      </c>
      <c r="G164" t="s">
        <v>141</v>
      </c>
      <c r="H164" t="s">
        <v>1055</v>
      </c>
      <c r="I164" s="2" t="s">
        <v>141</v>
      </c>
      <c r="J164" s="13">
        <v>0.45531250000000001</v>
      </c>
    </row>
    <row r="165" spans="1:10" x14ac:dyDescent="0.35">
      <c r="A165" s="27">
        <v>2897152</v>
      </c>
      <c r="B165" t="s">
        <v>23</v>
      </c>
      <c r="C165" t="s">
        <v>1005</v>
      </c>
      <c r="D165" t="s">
        <v>357</v>
      </c>
      <c r="E165" t="s">
        <v>959</v>
      </c>
      <c r="F165" t="s">
        <v>1042</v>
      </c>
      <c r="G165" t="s">
        <v>141</v>
      </c>
      <c r="H165" t="s">
        <v>1056</v>
      </c>
      <c r="I165" s="6">
        <v>45632</v>
      </c>
      <c r="J165" s="13">
        <v>0.70874999999999999</v>
      </c>
    </row>
    <row r="166" spans="1:10" x14ac:dyDescent="0.35">
      <c r="A166" s="27">
        <v>2897166</v>
      </c>
      <c r="B166" t="s">
        <v>23</v>
      </c>
      <c r="C166" t="s">
        <v>1005</v>
      </c>
      <c r="D166" t="s">
        <v>357</v>
      </c>
      <c r="E166" t="s">
        <v>959</v>
      </c>
      <c r="F166" t="s">
        <v>1042</v>
      </c>
      <c r="G166" t="s">
        <v>141</v>
      </c>
      <c r="H166" t="s">
        <v>1057</v>
      </c>
      <c r="I166" s="6">
        <v>45632</v>
      </c>
      <c r="J166" s="13">
        <v>0.70745370370370375</v>
      </c>
    </row>
    <row r="167" spans="1:10" x14ac:dyDescent="0.35">
      <c r="A167" s="27">
        <v>2897187</v>
      </c>
      <c r="B167" t="s">
        <v>23</v>
      </c>
      <c r="C167" t="s">
        <v>1005</v>
      </c>
      <c r="D167" t="s">
        <v>357</v>
      </c>
      <c r="E167" t="s">
        <v>959</v>
      </c>
      <c r="F167" t="s">
        <v>1042</v>
      </c>
      <c r="G167" t="s">
        <v>141</v>
      </c>
      <c r="H167" t="s">
        <v>1058</v>
      </c>
      <c r="I167" s="2" t="s">
        <v>141</v>
      </c>
      <c r="J167" s="13">
        <v>0.58587962962962958</v>
      </c>
    </row>
    <row r="168" spans="1:10" x14ac:dyDescent="0.35">
      <c r="A168" s="27">
        <v>2897188</v>
      </c>
      <c r="B168" t="s">
        <v>23</v>
      </c>
      <c r="C168" t="s">
        <v>1005</v>
      </c>
      <c r="D168" t="s">
        <v>357</v>
      </c>
      <c r="E168" t="s">
        <v>959</v>
      </c>
      <c r="F168" t="s">
        <v>1042</v>
      </c>
      <c r="G168" t="s">
        <v>141</v>
      </c>
      <c r="H168" t="s">
        <v>1059</v>
      </c>
      <c r="I168" s="2" t="s">
        <v>141</v>
      </c>
      <c r="J168" s="13">
        <v>0.41666666666666669</v>
      </c>
    </row>
    <row r="169" spans="1:10" x14ac:dyDescent="0.35">
      <c r="A169" s="27">
        <v>2897200</v>
      </c>
      <c r="B169" t="s">
        <v>23</v>
      </c>
      <c r="C169" t="s">
        <v>1005</v>
      </c>
      <c r="D169" t="s">
        <v>357</v>
      </c>
      <c r="E169" t="s">
        <v>959</v>
      </c>
      <c r="F169" t="s">
        <v>1042</v>
      </c>
      <c r="G169" t="s">
        <v>141</v>
      </c>
      <c r="H169" t="s">
        <v>1060</v>
      </c>
      <c r="I169" s="2" t="s">
        <v>141</v>
      </c>
      <c r="J169" s="13">
        <v>0.41865740740740742</v>
      </c>
    </row>
    <row r="170" spans="1:10" x14ac:dyDescent="0.35">
      <c r="A170" s="27">
        <v>2897249</v>
      </c>
      <c r="B170" t="s">
        <v>23</v>
      </c>
      <c r="C170" t="s">
        <v>372</v>
      </c>
      <c r="D170" t="s">
        <v>357</v>
      </c>
      <c r="E170" t="s">
        <v>959</v>
      </c>
      <c r="F170" t="s">
        <v>1042</v>
      </c>
      <c r="G170" t="s">
        <v>141</v>
      </c>
      <c r="H170" t="s">
        <v>1061</v>
      </c>
      <c r="I170" s="2" t="s">
        <v>141</v>
      </c>
      <c r="J170" s="13">
        <v>0.36393518518518519</v>
      </c>
    </row>
    <row r="171" spans="1:10" x14ac:dyDescent="0.35">
      <c r="A171" s="27">
        <v>2897255</v>
      </c>
      <c r="B171" t="s">
        <v>23</v>
      </c>
      <c r="C171" t="s">
        <v>1062</v>
      </c>
      <c r="D171" t="s">
        <v>357</v>
      </c>
      <c r="E171" t="s">
        <v>959</v>
      </c>
      <c r="F171" t="s">
        <v>1063</v>
      </c>
      <c r="G171" t="s">
        <v>141</v>
      </c>
      <c r="H171" t="s">
        <v>1064</v>
      </c>
      <c r="I171" s="2" t="s">
        <v>141</v>
      </c>
      <c r="J171" s="13">
        <v>0.35748842592592595</v>
      </c>
    </row>
    <row r="172" spans="1:10" x14ac:dyDescent="0.35">
      <c r="A172" s="27">
        <v>2897259</v>
      </c>
      <c r="B172" t="s">
        <v>23</v>
      </c>
      <c r="C172" t="s">
        <v>372</v>
      </c>
      <c r="D172" t="s">
        <v>357</v>
      </c>
      <c r="E172" t="s">
        <v>959</v>
      </c>
      <c r="F172" t="s">
        <v>1042</v>
      </c>
      <c r="G172" t="s">
        <v>141</v>
      </c>
      <c r="H172" t="s">
        <v>1065</v>
      </c>
      <c r="I172" s="2" t="s">
        <v>141</v>
      </c>
      <c r="J172" s="13">
        <v>0.35891203703703706</v>
      </c>
    </row>
    <row r="173" spans="1:10" x14ac:dyDescent="0.35">
      <c r="A173" s="27">
        <v>2897261</v>
      </c>
      <c r="B173" t="s">
        <v>23</v>
      </c>
      <c r="C173" t="s">
        <v>1005</v>
      </c>
      <c r="D173" t="s">
        <v>357</v>
      </c>
      <c r="E173" t="s">
        <v>959</v>
      </c>
      <c r="F173" t="s">
        <v>1042</v>
      </c>
      <c r="G173" t="s">
        <v>141</v>
      </c>
      <c r="H173" t="s">
        <v>1066</v>
      </c>
      <c r="I173" s="2" t="s">
        <v>141</v>
      </c>
      <c r="J173" s="13">
        <v>0.58023148148148151</v>
      </c>
    </row>
    <row r="174" spans="1:10" x14ac:dyDescent="0.35">
      <c r="A174" s="27">
        <v>2897262</v>
      </c>
      <c r="B174" t="s">
        <v>23</v>
      </c>
      <c r="C174" t="s">
        <v>1005</v>
      </c>
      <c r="D174" t="s">
        <v>357</v>
      </c>
      <c r="E174" t="s">
        <v>959</v>
      </c>
      <c r="F174" t="s">
        <v>1042</v>
      </c>
      <c r="G174" t="s">
        <v>141</v>
      </c>
      <c r="H174" t="s">
        <v>1067</v>
      </c>
      <c r="I174" s="6">
        <v>45632</v>
      </c>
      <c r="J174" s="13">
        <v>0.66666666666666663</v>
      </c>
    </row>
    <row r="175" spans="1:10" x14ac:dyDescent="0.35">
      <c r="A175" s="27">
        <v>2897266</v>
      </c>
      <c r="B175" t="s">
        <v>23</v>
      </c>
      <c r="C175" t="s">
        <v>1005</v>
      </c>
      <c r="D175" t="s">
        <v>357</v>
      </c>
      <c r="E175" t="s">
        <v>959</v>
      </c>
      <c r="F175" t="s">
        <v>1042</v>
      </c>
      <c r="G175" t="s">
        <v>141</v>
      </c>
      <c r="H175" t="s">
        <v>1068</v>
      </c>
      <c r="I175" s="6">
        <v>45632</v>
      </c>
      <c r="J175" s="13">
        <v>0.69303240740740746</v>
      </c>
    </row>
    <row r="176" spans="1:10" x14ac:dyDescent="0.35">
      <c r="A176" s="27">
        <v>2897279</v>
      </c>
      <c r="B176" t="s">
        <v>23</v>
      </c>
      <c r="C176" t="s">
        <v>372</v>
      </c>
      <c r="D176" t="s">
        <v>357</v>
      </c>
      <c r="E176" t="s">
        <v>959</v>
      </c>
      <c r="F176" t="s">
        <v>1042</v>
      </c>
      <c r="G176" t="s">
        <v>141</v>
      </c>
      <c r="H176" t="s">
        <v>1069</v>
      </c>
      <c r="I176" s="2" t="s">
        <v>141</v>
      </c>
      <c r="J176" s="13">
        <v>0.41666666666666669</v>
      </c>
    </row>
    <row r="177" spans="1:10" x14ac:dyDescent="0.35">
      <c r="A177" s="27">
        <v>2897286</v>
      </c>
      <c r="B177" t="s">
        <v>23</v>
      </c>
      <c r="C177" t="s">
        <v>1005</v>
      </c>
      <c r="D177" t="s">
        <v>357</v>
      </c>
      <c r="E177" t="s">
        <v>959</v>
      </c>
      <c r="F177" t="s">
        <v>1042</v>
      </c>
      <c r="G177" t="s">
        <v>141</v>
      </c>
      <c r="H177" t="s">
        <v>1070</v>
      </c>
      <c r="I177" s="2" t="s">
        <v>141</v>
      </c>
      <c r="J177" s="13">
        <v>0.65348379629629627</v>
      </c>
    </row>
    <row r="178" spans="1:10" x14ac:dyDescent="0.35">
      <c r="A178" s="27">
        <v>2897288</v>
      </c>
      <c r="B178" t="s">
        <v>23</v>
      </c>
      <c r="C178" t="s">
        <v>1005</v>
      </c>
      <c r="D178" t="s">
        <v>357</v>
      </c>
      <c r="E178" t="s">
        <v>959</v>
      </c>
      <c r="F178" t="s">
        <v>1042</v>
      </c>
      <c r="G178" t="s">
        <v>141</v>
      </c>
      <c r="H178" t="s">
        <v>1071</v>
      </c>
      <c r="I178" s="2" t="s">
        <v>141</v>
      </c>
      <c r="J178" s="13">
        <v>0.54428240740740741</v>
      </c>
    </row>
    <row r="179" spans="1:10" x14ac:dyDescent="0.35">
      <c r="A179" s="27">
        <v>2897295</v>
      </c>
      <c r="B179" t="s">
        <v>23</v>
      </c>
      <c r="C179" t="s">
        <v>372</v>
      </c>
      <c r="D179" t="s">
        <v>357</v>
      </c>
      <c r="E179" t="s">
        <v>959</v>
      </c>
      <c r="F179" t="s">
        <v>1042</v>
      </c>
      <c r="G179" t="s">
        <v>141</v>
      </c>
      <c r="H179" t="s">
        <v>1072</v>
      </c>
      <c r="I179" s="6">
        <v>45632</v>
      </c>
      <c r="J179" s="13">
        <v>0.66666666666666663</v>
      </c>
    </row>
    <row r="180" spans="1:10" x14ac:dyDescent="0.35">
      <c r="A180" s="27">
        <v>2897323</v>
      </c>
      <c r="B180" t="s">
        <v>23</v>
      </c>
      <c r="C180" t="s">
        <v>372</v>
      </c>
      <c r="D180" t="s">
        <v>357</v>
      </c>
      <c r="E180" t="s">
        <v>959</v>
      </c>
      <c r="F180" t="s">
        <v>1042</v>
      </c>
      <c r="G180" t="s">
        <v>141</v>
      </c>
      <c r="H180" t="s">
        <v>1073</v>
      </c>
      <c r="I180" s="6">
        <v>45632</v>
      </c>
      <c r="J180" s="13">
        <v>0.69903935185185184</v>
      </c>
    </row>
    <row r="181" spans="1:10" x14ac:dyDescent="0.35">
      <c r="A181" s="27">
        <v>2897365</v>
      </c>
      <c r="B181" t="s">
        <v>23</v>
      </c>
      <c r="C181" t="s">
        <v>372</v>
      </c>
      <c r="D181" t="s">
        <v>357</v>
      </c>
      <c r="E181" t="s">
        <v>959</v>
      </c>
      <c r="F181" t="s">
        <v>1042</v>
      </c>
      <c r="G181" t="s">
        <v>141</v>
      </c>
      <c r="H181" t="s">
        <v>1074</v>
      </c>
      <c r="I181" s="2" t="s">
        <v>141</v>
      </c>
      <c r="J181" s="13">
        <v>0.54336805555555556</v>
      </c>
    </row>
    <row r="182" spans="1:10" x14ac:dyDescent="0.35">
      <c r="A182" s="27">
        <v>2897389</v>
      </c>
      <c r="B182" t="s">
        <v>23</v>
      </c>
      <c r="C182" t="s">
        <v>372</v>
      </c>
      <c r="D182" t="s">
        <v>357</v>
      </c>
      <c r="E182" t="s">
        <v>959</v>
      </c>
      <c r="F182" t="s">
        <v>1042</v>
      </c>
      <c r="G182" t="s">
        <v>141</v>
      </c>
      <c r="H182" t="s">
        <v>1075</v>
      </c>
      <c r="I182" s="2" t="s">
        <v>141</v>
      </c>
      <c r="J182" s="13">
        <v>0.54479166666666667</v>
      </c>
    </row>
    <row r="183" spans="1:10" x14ac:dyDescent="0.35">
      <c r="A183" s="27">
        <v>2897407</v>
      </c>
      <c r="B183" t="s">
        <v>23</v>
      </c>
      <c r="C183" t="s">
        <v>372</v>
      </c>
      <c r="D183" t="s">
        <v>357</v>
      </c>
      <c r="E183" t="s">
        <v>959</v>
      </c>
      <c r="F183" t="s">
        <v>1042</v>
      </c>
      <c r="G183" t="s">
        <v>141</v>
      </c>
      <c r="H183" t="s">
        <v>1076</v>
      </c>
      <c r="I183" s="6">
        <v>45632</v>
      </c>
      <c r="J183" s="13">
        <v>0.66915509259259254</v>
      </c>
    </row>
    <row r="184" spans="1:10" x14ac:dyDescent="0.35">
      <c r="A184" s="27">
        <v>2897435</v>
      </c>
      <c r="B184" t="s">
        <v>23</v>
      </c>
      <c r="C184" t="s">
        <v>372</v>
      </c>
      <c r="D184" t="s">
        <v>357</v>
      </c>
      <c r="E184" t="s">
        <v>959</v>
      </c>
      <c r="F184" t="s">
        <v>1042</v>
      </c>
      <c r="G184" t="s">
        <v>141</v>
      </c>
      <c r="H184" t="s">
        <v>1077</v>
      </c>
      <c r="I184" s="2" t="s">
        <v>141</v>
      </c>
      <c r="J184" s="13">
        <v>0.41666666666666669</v>
      </c>
    </row>
    <row r="185" spans="1:10" x14ac:dyDescent="0.35">
      <c r="A185" s="27">
        <v>2897457</v>
      </c>
      <c r="B185" t="s">
        <v>23</v>
      </c>
      <c r="C185" t="s">
        <v>372</v>
      </c>
      <c r="D185" t="s">
        <v>357</v>
      </c>
      <c r="E185" t="s">
        <v>959</v>
      </c>
      <c r="F185" t="s">
        <v>1042</v>
      </c>
      <c r="G185" t="s">
        <v>141</v>
      </c>
      <c r="H185" t="s">
        <v>1078</v>
      </c>
      <c r="I185" s="2" t="s">
        <v>141</v>
      </c>
      <c r="J185" s="13">
        <v>0.41666666666666669</v>
      </c>
    </row>
    <row r="186" spans="1:10" x14ac:dyDescent="0.35">
      <c r="A186" s="27">
        <v>2897489</v>
      </c>
      <c r="B186" t="s">
        <v>23</v>
      </c>
      <c r="C186" t="s">
        <v>372</v>
      </c>
      <c r="D186" t="s">
        <v>357</v>
      </c>
      <c r="E186" t="s">
        <v>959</v>
      </c>
      <c r="F186" t="s">
        <v>1042</v>
      </c>
      <c r="G186" t="s">
        <v>141</v>
      </c>
      <c r="H186" t="s">
        <v>1079</v>
      </c>
      <c r="I186" s="2" t="s">
        <v>141</v>
      </c>
      <c r="J186" s="13">
        <v>0.54545138888888889</v>
      </c>
    </row>
    <row r="187" spans="1:10" x14ac:dyDescent="0.35">
      <c r="A187" s="27">
        <v>2897519</v>
      </c>
      <c r="B187" t="s">
        <v>23</v>
      </c>
      <c r="C187" t="s">
        <v>372</v>
      </c>
      <c r="D187" t="s">
        <v>357</v>
      </c>
      <c r="E187" t="s">
        <v>959</v>
      </c>
      <c r="F187" t="s">
        <v>1042</v>
      </c>
      <c r="G187" t="s">
        <v>141</v>
      </c>
      <c r="H187" t="s">
        <v>1080</v>
      </c>
      <c r="I187" s="2" t="s">
        <v>141</v>
      </c>
      <c r="J187" s="13">
        <v>0.58201388888888894</v>
      </c>
    </row>
    <row r="188" spans="1:10" x14ac:dyDescent="0.35">
      <c r="A188" s="27">
        <v>2897541</v>
      </c>
      <c r="B188" t="s">
        <v>23</v>
      </c>
      <c r="C188" t="s">
        <v>372</v>
      </c>
      <c r="D188" t="s">
        <v>357</v>
      </c>
      <c r="E188" t="s">
        <v>959</v>
      </c>
      <c r="F188" t="s">
        <v>1042</v>
      </c>
      <c r="G188" t="s">
        <v>141</v>
      </c>
      <c r="H188" t="s">
        <v>1081</v>
      </c>
      <c r="I188" s="2" t="s">
        <v>141</v>
      </c>
      <c r="J188" s="13">
        <v>0.35793981481481479</v>
      </c>
    </row>
    <row r="189" spans="1:10" x14ac:dyDescent="0.35">
      <c r="A189" s="27">
        <v>2897671</v>
      </c>
      <c r="B189" t="s">
        <v>356</v>
      </c>
      <c r="C189" t="s">
        <v>374</v>
      </c>
      <c r="D189" t="s">
        <v>357</v>
      </c>
      <c r="E189" t="s">
        <v>959</v>
      </c>
      <c r="F189" t="s">
        <v>1082</v>
      </c>
      <c r="G189" t="s">
        <v>141</v>
      </c>
      <c r="H189" t="s">
        <v>1083</v>
      </c>
      <c r="I189" s="6">
        <v>45632</v>
      </c>
      <c r="J189" s="13">
        <v>0.66666666666666663</v>
      </c>
    </row>
    <row r="190" spans="1:10" x14ac:dyDescent="0.35">
      <c r="A190" s="27">
        <v>2897738</v>
      </c>
      <c r="B190" t="s">
        <v>23</v>
      </c>
      <c r="C190" t="s">
        <v>372</v>
      </c>
      <c r="D190" t="s">
        <v>357</v>
      </c>
      <c r="E190" t="s">
        <v>959</v>
      </c>
      <c r="F190" t="s">
        <v>1042</v>
      </c>
      <c r="G190" t="s">
        <v>141</v>
      </c>
      <c r="H190" t="s">
        <v>1084</v>
      </c>
      <c r="I190" s="2" t="s">
        <v>141</v>
      </c>
      <c r="J190" s="13">
        <v>0.65384259259259259</v>
      </c>
    </row>
    <row r="191" spans="1:10" x14ac:dyDescent="0.35">
      <c r="A191" s="27">
        <v>2897860</v>
      </c>
      <c r="B191" t="s">
        <v>24</v>
      </c>
      <c r="C191" t="s">
        <v>365</v>
      </c>
      <c r="D191" t="s">
        <v>737</v>
      </c>
      <c r="E191" t="s">
        <v>959</v>
      </c>
      <c r="F191" t="s">
        <v>1085</v>
      </c>
      <c r="G191" t="s">
        <v>141</v>
      </c>
      <c r="H191" t="s">
        <v>1086</v>
      </c>
      <c r="I191" s="6">
        <v>45632</v>
      </c>
      <c r="J191" s="13">
        <v>0.69392361111111112</v>
      </c>
    </row>
    <row r="192" spans="1:10" x14ac:dyDescent="0.35">
      <c r="A192" s="27">
        <v>2897872</v>
      </c>
      <c r="B192" t="s">
        <v>23</v>
      </c>
      <c r="C192" t="s">
        <v>372</v>
      </c>
      <c r="D192" t="s">
        <v>357</v>
      </c>
      <c r="E192" t="s">
        <v>959</v>
      </c>
      <c r="F192" t="s">
        <v>1042</v>
      </c>
      <c r="G192" t="s">
        <v>141</v>
      </c>
      <c r="H192" t="s">
        <v>1087</v>
      </c>
      <c r="I192" s="6">
        <v>45632</v>
      </c>
      <c r="J192" s="13">
        <v>0.69685185185185183</v>
      </c>
    </row>
    <row r="193" spans="1:10" x14ac:dyDescent="0.35">
      <c r="A193" s="27">
        <v>2897905</v>
      </c>
      <c r="B193" t="s">
        <v>23</v>
      </c>
      <c r="C193" t="s">
        <v>378</v>
      </c>
      <c r="D193" t="s">
        <v>357</v>
      </c>
      <c r="E193" t="s">
        <v>959</v>
      </c>
      <c r="F193" t="s">
        <v>771</v>
      </c>
      <c r="G193" t="s">
        <v>141</v>
      </c>
      <c r="H193" t="s">
        <v>1088</v>
      </c>
      <c r="I193" s="2" t="s">
        <v>141</v>
      </c>
      <c r="J193" s="13">
        <v>0.65416666666666667</v>
      </c>
    </row>
    <row r="194" spans="1:10" x14ac:dyDescent="0.35">
      <c r="A194" s="27">
        <v>2897944</v>
      </c>
      <c r="B194" t="s">
        <v>23</v>
      </c>
      <c r="C194" t="s">
        <v>378</v>
      </c>
      <c r="D194" t="s">
        <v>357</v>
      </c>
      <c r="E194" t="s">
        <v>959</v>
      </c>
      <c r="F194" t="s">
        <v>771</v>
      </c>
      <c r="G194" t="s">
        <v>141</v>
      </c>
      <c r="H194" t="s">
        <v>1089</v>
      </c>
      <c r="I194" s="6">
        <v>45632</v>
      </c>
      <c r="J194" s="13">
        <v>0.66988425925925921</v>
      </c>
    </row>
    <row r="195" spans="1:10" x14ac:dyDescent="0.35">
      <c r="A195" s="27">
        <v>2897973</v>
      </c>
      <c r="B195" t="s">
        <v>23</v>
      </c>
      <c r="C195" t="s">
        <v>378</v>
      </c>
      <c r="D195" t="s">
        <v>357</v>
      </c>
      <c r="E195" t="s">
        <v>959</v>
      </c>
      <c r="F195" t="s">
        <v>771</v>
      </c>
      <c r="G195" t="s">
        <v>141</v>
      </c>
      <c r="H195" t="s">
        <v>1090</v>
      </c>
      <c r="I195" s="2" t="s">
        <v>141</v>
      </c>
      <c r="J195" s="13">
        <v>0.62629629629629635</v>
      </c>
    </row>
    <row r="196" spans="1:10" x14ac:dyDescent="0.35">
      <c r="A196" s="27">
        <v>2897994</v>
      </c>
      <c r="B196" t="s">
        <v>23</v>
      </c>
      <c r="C196" t="s">
        <v>372</v>
      </c>
      <c r="D196" t="s">
        <v>357</v>
      </c>
      <c r="E196" t="s">
        <v>959</v>
      </c>
      <c r="F196" t="s">
        <v>1042</v>
      </c>
      <c r="G196" t="s">
        <v>141</v>
      </c>
      <c r="H196" t="s">
        <v>1091</v>
      </c>
      <c r="I196" s="2" t="s">
        <v>141</v>
      </c>
      <c r="J196" s="13">
        <v>0.36020833333333335</v>
      </c>
    </row>
    <row r="197" spans="1:10" x14ac:dyDescent="0.35">
      <c r="A197" s="27">
        <v>2897997</v>
      </c>
      <c r="B197" t="s">
        <v>24</v>
      </c>
      <c r="C197" t="s">
        <v>365</v>
      </c>
      <c r="D197" t="s">
        <v>357</v>
      </c>
      <c r="E197" t="s">
        <v>959</v>
      </c>
      <c r="F197" t="s">
        <v>1085</v>
      </c>
      <c r="G197" t="s">
        <v>141</v>
      </c>
      <c r="H197" t="s">
        <v>1092</v>
      </c>
      <c r="I197" s="2" t="s">
        <v>141</v>
      </c>
      <c r="J197" s="13">
        <v>0.36325231481481479</v>
      </c>
    </row>
    <row r="198" spans="1:10" x14ac:dyDescent="0.35">
      <c r="A198" s="27">
        <v>2898041</v>
      </c>
      <c r="B198" t="s">
        <v>23</v>
      </c>
      <c r="C198" t="s">
        <v>378</v>
      </c>
      <c r="D198" t="s">
        <v>357</v>
      </c>
      <c r="E198" t="s">
        <v>959</v>
      </c>
      <c r="F198" t="s">
        <v>771</v>
      </c>
      <c r="G198" t="s">
        <v>141</v>
      </c>
      <c r="H198" t="s">
        <v>1093</v>
      </c>
      <c r="I198" s="2" t="s">
        <v>141</v>
      </c>
      <c r="J198" s="13">
        <v>0.41666666666666669</v>
      </c>
    </row>
    <row r="199" spans="1:10" x14ac:dyDescent="0.35">
      <c r="A199" s="27">
        <v>2898069</v>
      </c>
      <c r="B199" t="s">
        <v>23</v>
      </c>
      <c r="C199" t="s">
        <v>1094</v>
      </c>
      <c r="D199" t="s">
        <v>357</v>
      </c>
      <c r="E199" t="s">
        <v>959</v>
      </c>
      <c r="F199" t="s">
        <v>1095</v>
      </c>
      <c r="G199" t="s">
        <v>141</v>
      </c>
      <c r="H199" t="s">
        <v>1096</v>
      </c>
      <c r="I199" s="6">
        <v>45632</v>
      </c>
      <c r="J199" s="13">
        <v>0.66666666666666663</v>
      </c>
    </row>
    <row r="200" spans="1:10" x14ac:dyDescent="0.35">
      <c r="A200" s="27">
        <v>2898073</v>
      </c>
      <c r="B200" t="s">
        <v>23</v>
      </c>
      <c r="C200" t="s">
        <v>378</v>
      </c>
      <c r="D200" t="s">
        <v>357</v>
      </c>
      <c r="E200" t="s">
        <v>959</v>
      </c>
      <c r="F200" t="s">
        <v>771</v>
      </c>
      <c r="G200" t="s">
        <v>141</v>
      </c>
      <c r="H200" t="s">
        <v>1097</v>
      </c>
      <c r="I200" s="2" t="s">
        <v>141</v>
      </c>
      <c r="J200" s="13">
        <v>0.41666666666666669</v>
      </c>
    </row>
    <row r="201" spans="1:10" x14ac:dyDescent="0.35">
      <c r="A201" s="27">
        <v>2898102</v>
      </c>
      <c r="B201" t="s">
        <v>23</v>
      </c>
      <c r="C201" t="s">
        <v>378</v>
      </c>
      <c r="D201" t="s">
        <v>357</v>
      </c>
      <c r="E201" t="s">
        <v>959</v>
      </c>
      <c r="F201" t="s">
        <v>771</v>
      </c>
      <c r="G201" t="s">
        <v>141</v>
      </c>
      <c r="H201" t="s">
        <v>1098</v>
      </c>
      <c r="I201" s="2" t="s">
        <v>141</v>
      </c>
      <c r="J201" s="13">
        <v>0.34163194444444445</v>
      </c>
    </row>
    <row r="202" spans="1:10" x14ac:dyDescent="0.35">
      <c r="A202" s="27">
        <v>2898138</v>
      </c>
      <c r="B202" t="s">
        <v>23</v>
      </c>
      <c r="C202" t="s">
        <v>378</v>
      </c>
      <c r="D202" t="s">
        <v>357</v>
      </c>
      <c r="E202" t="s">
        <v>959</v>
      </c>
      <c r="F202" t="s">
        <v>771</v>
      </c>
      <c r="G202" t="s">
        <v>141</v>
      </c>
      <c r="H202" t="s">
        <v>1099</v>
      </c>
      <c r="I202" s="2" t="s">
        <v>141</v>
      </c>
      <c r="J202" s="13">
        <v>0.60408564814814814</v>
      </c>
    </row>
    <row r="203" spans="1:10" x14ac:dyDescent="0.35">
      <c r="A203" s="27">
        <v>2898193</v>
      </c>
      <c r="B203" t="s">
        <v>23</v>
      </c>
      <c r="C203" t="s">
        <v>371</v>
      </c>
      <c r="D203" t="s">
        <v>357</v>
      </c>
      <c r="E203" t="s">
        <v>959</v>
      </c>
      <c r="F203" t="s">
        <v>1011</v>
      </c>
      <c r="G203" t="s">
        <v>141</v>
      </c>
      <c r="H203" t="s">
        <v>1100</v>
      </c>
      <c r="I203" s="6">
        <v>45632</v>
      </c>
      <c r="J203" s="13">
        <v>0.74912037037037038</v>
      </c>
    </row>
    <row r="204" spans="1:10" x14ac:dyDescent="0.35">
      <c r="A204" s="27">
        <v>2898194</v>
      </c>
      <c r="B204" t="s">
        <v>23</v>
      </c>
      <c r="C204" t="s">
        <v>371</v>
      </c>
      <c r="D204" t="s">
        <v>357</v>
      </c>
      <c r="E204" t="s">
        <v>959</v>
      </c>
      <c r="F204" t="s">
        <v>1011</v>
      </c>
      <c r="G204" t="s">
        <v>141</v>
      </c>
      <c r="H204" t="s">
        <v>1101</v>
      </c>
      <c r="I204" s="2" t="s">
        <v>141</v>
      </c>
      <c r="J204" s="13">
        <v>0.41666666666666669</v>
      </c>
    </row>
    <row r="205" spans="1:10" x14ac:dyDescent="0.35">
      <c r="A205" s="27">
        <v>2898196</v>
      </c>
      <c r="B205" t="s">
        <v>23</v>
      </c>
      <c r="C205" t="s">
        <v>371</v>
      </c>
      <c r="D205" t="s">
        <v>357</v>
      </c>
      <c r="E205" t="s">
        <v>959</v>
      </c>
      <c r="F205" t="s">
        <v>1011</v>
      </c>
      <c r="G205" t="s">
        <v>141</v>
      </c>
      <c r="H205" t="s">
        <v>1102</v>
      </c>
      <c r="I205" s="2" t="s">
        <v>141</v>
      </c>
      <c r="J205" s="13">
        <v>0.40282407407407406</v>
      </c>
    </row>
    <row r="206" spans="1:10" x14ac:dyDescent="0.35">
      <c r="A206" s="27">
        <v>2898197</v>
      </c>
      <c r="B206" t="s">
        <v>23</v>
      </c>
      <c r="C206" t="s">
        <v>371</v>
      </c>
      <c r="D206" t="s">
        <v>357</v>
      </c>
      <c r="E206" t="s">
        <v>959</v>
      </c>
      <c r="F206" t="s">
        <v>1011</v>
      </c>
      <c r="G206" t="s">
        <v>141</v>
      </c>
      <c r="H206" t="s">
        <v>1103</v>
      </c>
      <c r="I206" s="2" t="s">
        <v>141</v>
      </c>
      <c r="J206" s="13">
        <v>0.45114583333333336</v>
      </c>
    </row>
    <row r="207" spans="1:10" x14ac:dyDescent="0.35">
      <c r="A207" s="27">
        <v>2898198</v>
      </c>
      <c r="B207" t="s">
        <v>23</v>
      </c>
      <c r="C207" t="s">
        <v>371</v>
      </c>
      <c r="D207" t="s">
        <v>357</v>
      </c>
      <c r="E207" t="s">
        <v>959</v>
      </c>
      <c r="F207" t="s">
        <v>1011</v>
      </c>
      <c r="G207" t="s">
        <v>141</v>
      </c>
      <c r="H207" t="s">
        <v>1104</v>
      </c>
      <c r="I207" s="2" t="s">
        <v>141</v>
      </c>
      <c r="J207" s="13">
        <v>0.48355324074074074</v>
      </c>
    </row>
    <row r="208" spans="1:10" x14ac:dyDescent="0.35">
      <c r="A208" s="27">
        <v>2898200</v>
      </c>
      <c r="B208" t="s">
        <v>23</v>
      </c>
      <c r="C208" t="s">
        <v>371</v>
      </c>
      <c r="D208" t="s">
        <v>357</v>
      </c>
      <c r="E208" t="s">
        <v>959</v>
      </c>
      <c r="F208" t="s">
        <v>1011</v>
      </c>
      <c r="G208" t="s">
        <v>141</v>
      </c>
      <c r="H208" t="s">
        <v>1105</v>
      </c>
      <c r="I208" s="2" t="s">
        <v>141</v>
      </c>
      <c r="J208" s="13">
        <v>0.66666666666666663</v>
      </c>
    </row>
    <row r="209" spans="1:10" x14ac:dyDescent="0.35">
      <c r="A209" s="27">
        <v>2898201</v>
      </c>
      <c r="B209" t="s">
        <v>23</v>
      </c>
      <c r="C209" t="s">
        <v>371</v>
      </c>
      <c r="D209" t="s">
        <v>357</v>
      </c>
      <c r="E209" t="s">
        <v>959</v>
      </c>
      <c r="F209" t="s">
        <v>1011</v>
      </c>
      <c r="G209" t="s">
        <v>141</v>
      </c>
      <c r="H209" t="s">
        <v>1106</v>
      </c>
      <c r="I209" s="2" t="s">
        <v>141</v>
      </c>
      <c r="J209" s="13">
        <v>0.44994212962962965</v>
      </c>
    </row>
    <row r="210" spans="1:10" x14ac:dyDescent="0.35">
      <c r="A210" s="27">
        <v>2898202</v>
      </c>
      <c r="B210" t="s">
        <v>23</v>
      </c>
      <c r="C210" t="s">
        <v>371</v>
      </c>
      <c r="D210" t="s">
        <v>357</v>
      </c>
      <c r="E210" t="s">
        <v>959</v>
      </c>
      <c r="F210" t="s">
        <v>1011</v>
      </c>
      <c r="G210" t="s">
        <v>141</v>
      </c>
      <c r="H210" t="s">
        <v>1107</v>
      </c>
      <c r="I210" s="2" t="s">
        <v>141</v>
      </c>
      <c r="J210" s="13">
        <v>0.49935185185185182</v>
      </c>
    </row>
    <row r="211" spans="1:10" x14ac:dyDescent="0.35">
      <c r="A211" s="27">
        <v>2898203</v>
      </c>
      <c r="B211" t="s">
        <v>23</v>
      </c>
      <c r="C211" t="s">
        <v>371</v>
      </c>
      <c r="D211" t="s">
        <v>357</v>
      </c>
      <c r="E211" t="s">
        <v>959</v>
      </c>
      <c r="F211" t="s">
        <v>1011</v>
      </c>
      <c r="G211" t="s">
        <v>141</v>
      </c>
      <c r="H211" t="s">
        <v>1108</v>
      </c>
      <c r="I211" s="6">
        <v>45418</v>
      </c>
      <c r="J211" s="13">
        <v>0.45833333333333331</v>
      </c>
    </row>
    <row r="212" spans="1:10" x14ac:dyDescent="0.35">
      <c r="A212" s="27">
        <v>2898206</v>
      </c>
      <c r="B212" t="s">
        <v>23</v>
      </c>
      <c r="C212" t="s">
        <v>371</v>
      </c>
      <c r="D212" t="s">
        <v>357</v>
      </c>
      <c r="E212" t="s">
        <v>959</v>
      </c>
      <c r="F212" t="s">
        <v>1011</v>
      </c>
      <c r="G212" t="s">
        <v>141</v>
      </c>
      <c r="H212" t="s">
        <v>1109</v>
      </c>
      <c r="I212" s="6">
        <v>45388</v>
      </c>
      <c r="J212" s="13">
        <v>0.69435185185185189</v>
      </c>
    </row>
    <row r="213" spans="1:10" x14ac:dyDescent="0.35">
      <c r="A213" s="27">
        <v>2898207</v>
      </c>
      <c r="B213" t="s">
        <v>23</v>
      </c>
      <c r="C213" t="s">
        <v>371</v>
      </c>
      <c r="D213" t="s">
        <v>357</v>
      </c>
      <c r="E213" t="s">
        <v>959</v>
      </c>
      <c r="F213" t="s">
        <v>1011</v>
      </c>
      <c r="G213" t="s">
        <v>141</v>
      </c>
      <c r="H213" t="s">
        <v>1110</v>
      </c>
      <c r="I213" s="6">
        <v>45602</v>
      </c>
      <c r="J213" s="13">
        <v>0.45833333333333331</v>
      </c>
    </row>
    <row r="214" spans="1:10" x14ac:dyDescent="0.35">
      <c r="A214" s="27">
        <v>2898208</v>
      </c>
      <c r="B214" t="s">
        <v>23</v>
      </c>
      <c r="C214" t="s">
        <v>371</v>
      </c>
      <c r="D214" t="s">
        <v>357</v>
      </c>
      <c r="E214" t="s">
        <v>959</v>
      </c>
      <c r="F214" t="s">
        <v>1011</v>
      </c>
      <c r="G214" t="s">
        <v>141</v>
      </c>
      <c r="H214" t="s">
        <v>1111</v>
      </c>
      <c r="I214" s="2" t="s">
        <v>141</v>
      </c>
      <c r="J214" s="13">
        <v>0.35369212962962965</v>
      </c>
    </row>
    <row r="215" spans="1:10" x14ac:dyDescent="0.35">
      <c r="A215" s="27">
        <v>2898210</v>
      </c>
      <c r="B215" t="s">
        <v>23</v>
      </c>
      <c r="C215" t="s">
        <v>371</v>
      </c>
      <c r="D215" t="s">
        <v>357</v>
      </c>
      <c r="E215" t="s">
        <v>959</v>
      </c>
      <c r="F215" t="s">
        <v>1011</v>
      </c>
      <c r="G215" t="s">
        <v>141</v>
      </c>
      <c r="H215" t="s">
        <v>1112</v>
      </c>
      <c r="I215" s="2" t="s">
        <v>141</v>
      </c>
      <c r="J215" s="13">
        <v>0.36483796296296295</v>
      </c>
    </row>
    <row r="216" spans="1:10" x14ac:dyDescent="0.35">
      <c r="A216" s="27">
        <v>2898336</v>
      </c>
      <c r="B216" t="s">
        <v>23</v>
      </c>
      <c r="C216" t="s">
        <v>371</v>
      </c>
      <c r="D216" t="s">
        <v>357</v>
      </c>
      <c r="E216" t="s">
        <v>959</v>
      </c>
      <c r="F216" t="s">
        <v>1011</v>
      </c>
      <c r="G216" t="s">
        <v>141</v>
      </c>
      <c r="H216" t="s">
        <v>1113</v>
      </c>
      <c r="I216" s="6">
        <v>45479</v>
      </c>
      <c r="J216" s="13">
        <v>0.45833333333333331</v>
      </c>
    </row>
    <row r="217" spans="1:10" x14ac:dyDescent="0.35">
      <c r="A217" s="27">
        <v>2898378</v>
      </c>
      <c r="B217" t="s">
        <v>23</v>
      </c>
      <c r="C217" t="s">
        <v>1034</v>
      </c>
      <c r="D217" t="s">
        <v>357</v>
      </c>
      <c r="E217" t="s">
        <v>959</v>
      </c>
      <c r="F217" t="s">
        <v>1035</v>
      </c>
      <c r="G217" t="s">
        <v>141</v>
      </c>
      <c r="H217" t="s">
        <v>1114</v>
      </c>
      <c r="I217" s="6">
        <v>45418</v>
      </c>
      <c r="J217" s="13">
        <v>0.33489583333333334</v>
      </c>
    </row>
    <row r="218" spans="1:10" x14ac:dyDescent="0.35">
      <c r="A218" s="27">
        <v>2898602</v>
      </c>
      <c r="B218" t="s">
        <v>23</v>
      </c>
      <c r="C218" t="s">
        <v>378</v>
      </c>
      <c r="D218" t="s">
        <v>357</v>
      </c>
      <c r="E218" t="s">
        <v>959</v>
      </c>
      <c r="F218" t="s">
        <v>771</v>
      </c>
      <c r="G218" t="s">
        <v>141</v>
      </c>
      <c r="H218" t="s">
        <v>1008</v>
      </c>
      <c r="I218" s="2" t="s">
        <v>141</v>
      </c>
      <c r="J218" s="13">
        <v>0.35373842592592591</v>
      </c>
    </row>
    <row r="219" spans="1:10" x14ac:dyDescent="0.35">
      <c r="A219" s="27">
        <v>2898607</v>
      </c>
      <c r="B219" t="s">
        <v>23</v>
      </c>
      <c r="C219" t="s">
        <v>371</v>
      </c>
      <c r="D219" t="s">
        <v>357</v>
      </c>
      <c r="E219" t="s">
        <v>959</v>
      </c>
      <c r="F219" t="s">
        <v>1011</v>
      </c>
      <c r="G219" t="s">
        <v>141</v>
      </c>
      <c r="H219" t="s">
        <v>1008</v>
      </c>
      <c r="I219" s="2" t="s">
        <v>141</v>
      </c>
      <c r="J219" s="13">
        <v>0.35379629629629628</v>
      </c>
    </row>
    <row r="220" spans="1:10" x14ac:dyDescent="0.35">
      <c r="A220" s="27">
        <v>2898608</v>
      </c>
      <c r="B220" t="s">
        <v>23</v>
      </c>
      <c r="C220" t="s">
        <v>371</v>
      </c>
      <c r="D220" t="s">
        <v>357</v>
      </c>
      <c r="E220" t="s">
        <v>959</v>
      </c>
      <c r="F220" t="s">
        <v>1011</v>
      </c>
      <c r="G220" t="s">
        <v>141</v>
      </c>
      <c r="H220" t="s">
        <v>1008</v>
      </c>
      <c r="I220" s="2" t="s">
        <v>141</v>
      </c>
      <c r="J220" s="13">
        <v>0.35381944444444446</v>
      </c>
    </row>
    <row r="221" spans="1:10" x14ac:dyDescent="0.35">
      <c r="A221" s="27">
        <v>2898609</v>
      </c>
      <c r="B221" t="s">
        <v>23</v>
      </c>
      <c r="C221" t="s">
        <v>371</v>
      </c>
      <c r="D221" t="s">
        <v>357</v>
      </c>
      <c r="E221" t="s">
        <v>959</v>
      </c>
      <c r="F221" t="s">
        <v>1011</v>
      </c>
      <c r="G221" t="s">
        <v>141</v>
      </c>
      <c r="H221" t="s">
        <v>1008</v>
      </c>
      <c r="I221" s="2" t="s">
        <v>141</v>
      </c>
      <c r="J221" s="13">
        <v>0.35385416666666669</v>
      </c>
    </row>
    <row r="222" spans="1:10" x14ac:dyDescent="0.35">
      <c r="A222" s="27">
        <v>2898610</v>
      </c>
      <c r="B222" t="s">
        <v>23</v>
      </c>
      <c r="C222" t="s">
        <v>371</v>
      </c>
      <c r="D222" t="s">
        <v>357</v>
      </c>
      <c r="E222" t="s">
        <v>959</v>
      </c>
      <c r="F222" t="s">
        <v>1011</v>
      </c>
      <c r="G222" t="s">
        <v>141</v>
      </c>
      <c r="H222" t="s">
        <v>1008</v>
      </c>
      <c r="I222" s="2" t="s">
        <v>141</v>
      </c>
      <c r="J222" s="13">
        <v>0.35387731481481483</v>
      </c>
    </row>
    <row r="223" spans="1:10" x14ac:dyDescent="0.35">
      <c r="A223" s="27">
        <v>2898611</v>
      </c>
      <c r="B223" t="s">
        <v>23</v>
      </c>
      <c r="C223" t="s">
        <v>371</v>
      </c>
      <c r="D223" t="s">
        <v>357</v>
      </c>
      <c r="E223" t="s">
        <v>959</v>
      </c>
      <c r="F223" t="s">
        <v>1011</v>
      </c>
      <c r="G223" t="s">
        <v>141</v>
      </c>
      <c r="H223" t="s">
        <v>1008</v>
      </c>
      <c r="I223" s="2" t="s">
        <v>141</v>
      </c>
      <c r="J223" s="13">
        <v>0.35391203703703705</v>
      </c>
    </row>
    <row r="224" spans="1:10" x14ac:dyDescent="0.35">
      <c r="A224" s="27">
        <v>2898612</v>
      </c>
      <c r="B224" t="s">
        <v>23</v>
      </c>
      <c r="C224" t="s">
        <v>371</v>
      </c>
      <c r="D224" t="s">
        <v>357</v>
      </c>
      <c r="E224" t="s">
        <v>959</v>
      </c>
      <c r="F224" t="s">
        <v>1011</v>
      </c>
      <c r="G224" t="s">
        <v>141</v>
      </c>
      <c r="H224" t="s">
        <v>1008</v>
      </c>
      <c r="I224" s="2" t="s">
        <v>141</v>
      </c>
      <c r="J224" s="13">
        <v>0.35393518518518519</v>
      </c>
    </row>
    <row r="225" spans="1:10" x14ac:dyDescent="0.35">
      <c r="A225" s="27">
        <v>2898613</v>
      </c>
      <c r="B225" t="s">
        <v>23</v>
      </c>
      <c r="C225" t="s">
        <v>371</v>
      </c>
      <c r="D225" t="s">
        <v>357</v>
      </c>
      <c r="E225" t="s">
        <v>959</v>
      </c>
      <c r="F225" t="s">
        <v>1011</v>
      </c>
      <c r="G225" t="s">
        <v>141</v>
      </c>
      <c r="H225" t="s">
        <v>1008</v>
      </c>
      <c r="I225" s="2" t="s">
        <v>141</v>
      </c>
      <c r="J225" s="13">
        <v>0.35395833333333332</v>
      </c>
    </row>
    <row r="226" spans="1:10" x14ac:dyDescent="0.35">
      <c r="A226" s="27">
        <v>2898700</v>
      </c>
      <c r="B226" t="s">
        <v>23</v>
      </c>
      <c r="C226" t="s">
        <v>1115</v>
      </c>
      <c r="D226" t="s">
        <v>357</v>
      </c>
      <c r="E226" t="s">
        <v>959</v>
      </c>
      <c r="F226" t="s">
        <v>1116</v>
      </c>
      <c r="G226" t="s">
        <v>141</v>
      </c>
      <c r="H226" t="s">
        <v>1008</v>
      </c>
      <c r="I226" s="2" t="s">
        <v>141</v>
      </c>
      <c r="J226" s="13">
        <v>0.35399305555555555</v>
      </c>
    </row>
    <row r="227" spans="1:10" x14ac:dyDescent="0.35">
      <c r="A227" s="27">
        <v>2898721</v>
      </c>
      <c r="B227" t="s">
        <v>23</v>
      </c>
      <c r="C227" t="s">
        <v>1094</v>
      </c>
      <c r="D227" t="s">
        <v>357</v>
      </c>
      <c r="E227" t="s">
        <v>959</v>
      </c>
      <c r="F227" t="s">
        <v>1095</v>
      </c>
      <c r="G227" t="s">
        <v>141</v>
      </c>
      <c r="H227" t="s">
        <v>1117</v>
      </c>
      <c r="I227" s="6">
        <v>45449</v>
      </c>
      <c r="J227" s="13">
        <v>0.71265046296296297</v>
      </c>
    </row>
    <row r="228" spans="1:10" x14ac:dyDescent="0.35">
      <c r="A228" s="27">
        <v>2898777</v>
      </c>
      <c r="B228" t="s">
        <v>23</v>
      </c>
      <c r="C228" t="s">
        <v>371</v>
      </c>
      <c r="D228" t="s">
        <v>357</v>
      </c>
      <c r="E228" t="s">
        <v>959</v>
      </c>
      <c r="F228" t="s">
        <v>1011</v>
      </c>
      <c r="G228" t="s">
        <v>141</v>
      </c>
      <c r="H228" t="s">
        <v>1008</v>
      </c>
      <c r="I228" s="6">
        <v>45449</v>
      </c>
      <c r="J228" s="13">
        <v>0.71248842592592587</v>
      </c>
    </row>
    <row r="229" spans="1:10" x14ac:dyDescent="0.35">
      <c r="A229" s="27">
        <v>2898778</v>
      </c>
      <c r="B229" t="s">
        <v>23</v>
      </c>
      <c r="C229" t="s">
        <v>371</v>
      </c>
      <c r="D229" t="s">
        <v>357</v>
      </c>
      <c r="E229" t="s">
        <v>959</v>
      </c>
      <c r="F229" t="s">
        <v>1118</v>
      </c>
      <c r="G229" t="s">
        <v>141</v>
      </c>
      <c r="H229" t="s">
        <v>1008</v>
      </c>
      <c r="I229" s="6">
        <v>45449</v>
      </c>
      <c r="J229" s="13">
        <v>0.7123842592592593</v>
      </c>
    </row>
    <row r="230" spans="1:10" x14ac:dyDescent="0.35">
      <c r="A230" s="27">
        <v>2898779</v>
      </c>
      <c r="B230" t="s">
        <v>23</v>
      </c>
      <c r="C230" t="s">
        <v>371</v>
      </c>
      <c r="D230" t="s">
        <v>357</v>
      </c>
      <c r="E230" t="s">
        <v>959</v>
      </c>
      <c r="F230" t="s">
        <v>1118</v>
      </c>
      <c r="G230" t="s">
        <v>141</v>
      </c>
      <c r="H230" t="s">
        <v>1008</v>
      </c>
      <c r="I230" s="6">
        <v>45449</v>
      </c>
      <c r="J230" s="13">
        <v>0.71212962962962967</v>
      </c>
    </row>
    <row r="231" spans="1:10" x14ac:dyDescent="0.35">
      <c r="A231" s="27">
        <v>2898780</v>
      </c>
      <c r="B231" t="s">
        <v>23</v>
      </c>
      <c r="C231" t="s">
        <v>371</v>
      </c>
      <c r="D231" t="s">
        <v>357</v>
      </c>
      <c r="E231" t="s">
        <v>959</v>
      </c>
      <c r="F231" t="s">
        <v>1118</v>
      </c>
      <c r="G231" t="s">
        <v>141</v>
      </c>
      <c r="H231" t="s">
        <v>1008</v>
      </c>
      <c r="I231" s="2" t="s">
        <v>141</v>
      </c>
      <c r="J231" s="13">
        <v>0.38900462962962962</v>
      </c>
    </row>
    <row r="232" spans="1:10" x14ac:dyDescent="0.35">
      <c r="A232" s="27">
        <v>2898781</v>
      </c>
      <c r="B232" t="s">
        <v>23</v>
      </c>
      <c r="C232" t="s">
        <v>371</v>
      </c>
      <c r="D232" t="s">
        <v>357</v>
      </c>
      <c r="E232" t="s">
        <v>959</v>
      </c>
      <c r="F232" t="s">
        <v>1118</v>
      </c>
      <c r="G232" t="s">
        <v>141</v>
      </c>
      <c r="H232" t="s">
        <v>1008</v>
      </c>
      <c r="I232" s="6">
        <v>45449</v>
      </c>
      <c r="J232" s="13">
        <v>0.71195601851851853</v>
      </c>
    </row>
    <row r="233" spans="1:10" x14ac:dyDescent="0.35">
      <c r="A233" s="27">
        <v>2898782</v>
      </c>
      <c r="B233" t="s">
        <v>23</v>
      </c>
      <c r="C233" t="s">
        <v>371</v>
      </c>
      <c r="D233" t="s">
        <v>357</v>
      </c>
      <c r="E233" t="s">
        <v>959</v>
      </c>
      <c r="F233" t="s">
        <v>1118</v>
      </c>
      <c r="G233" t="s">
        <v>141</v>
      </c>
      <c r="H233" t="s">
        <v>1008</v>
      </c>
      <c r="I233" s="6">
        <v>45479</v>
      </c>
      <c r="J233" s="13">
        <v>0.55685185185185182</v>
      </c>
    </row>
    <row r="234" spans="1:10" x14ac:dyDescent="0.35">
      <c r="A234" s="27">
        <v>2898783</v>
      </c>
      <c r="B234" t="s">
        <v>23</v>
      </c>
      <c r="C234" t="s">
        <v>371</v>
      </c>
      <c r="D234" t="s">
        <v>357</v>
      </c>
      <c r="E234" t="s">
        <v>959</v>
      </c>
      <c r="F234" t="s">
        <v>1118</v>
      </c>
      <c r="G234" t="s">
        <v>141</v>
      </c>
      <c r="H234" t="s">
        <v>1008</v>
      </c>
      <c r="I234" s="6">
        <v>45418</v>
      </c>
      <c r="J234" s="13">
        <v>0.4853703703703704</v>
      </c>
    </row>
    <row r="235" spans="1:10" x14ac:dyDescent="0.35">
      <c r="A235" s="27">
        <v>2898784</v>
      </c>
      <c r="B235" t="s">
        <v>23</v>
      </c>
      <c r="C235" t="s">
        <v>371</v>
      </c>
      <c r="D235" t="s">
        <v>357</v>
      </c>
      <c r="E235" t="s">
        <v>959</v>
      </c>
      <c r="F235" t="s">
        <v>1118</v>
      </c>
      <c r="G235" t="s">
        <v>141</v>
      </c>
      <c r="H235" t="s">
        <v>1008</v>
      </c>
      <c r="I235" s="6">
        <v>45418</v>
      </c>
      <c r="J235" s="13">
        <v>0.66666666666666663</v>
      </c>
    </row>
    <row r="236" spans="1:10" x14ac:dyDescent="0.35">
      <c r="A236" s="27">
        <v>2880899</v>
      </c>
      <c r="B236" t="s">
        <v>1119</v>
      </c>
      <c r="C236" t="s">
        <v>380</v>
      </c>
      <c r="D236" t="s">
        <v>1120</v>
      </c>
      <c r="E236" t="s">
        <v>1121</v>
      </c>
      <c r="F236" t="s">
        <v>1122</v>
      </c>
      <c r="G236" t="s">
        <v>116</v>
      </c>
      <c r="H236" t="s">
        <v>1123</v>
      </c>
      <c r="I236" s="6">
        <v>45418</v>
      </c>
      <c r="J236" s="13">
        <v>0.70289351851851856</v>
      </c>
    </row>
    <row r="237" spans="1:10" x14ac:dyDescent="0.35">
      <c r="A237" s="27">
        <v>2883077</v>
      </c>
      <c r="B237" t="s">
        <v>1119</v>
      </c>
      <c r="C237" t="s">
        <v>314</v>
      </c>
      <c r="D237" t="s">
        <v>1120</v>
      </c>
      <c r="E237" t="s">
        <v>1121</v>
      </c>
      <c r="F237" t="s">
        <v>1124</v>
      </c>
      <c r="G237" t="s">
        <v>78</v>
      </c>
      <c r="H237" t="s">
        <v>1008</v>
      </c>
      <c r="I237" s="6">
        <v>45449</v>
      </c>
      <c r="J237" s="13">
        <v>0.34285879629629629</v>
      </c>
    </row>
    <row r="238" spans="1:10" x14ac:dyDescent="0.35">
      <c r="A238" s="27">
        <v>2883145</v>
      </c>
      <c r="B238" t="s">
        <v>1119</v>
      </c>
      <c r="C238" t="s">
        <v>314</v>
      </c>
      <c r="D238" t="s">
        <v>1125</v>
      </c>
      <c r="E238" t="s">
        <v>1121</v>
      </c>
      <c r="F238" t="s">
        <v>1124</v>
      </c>
      <c r="G238" t="s">
        <v>78</v>
      </c>
      <c r="H238" t="s">
        <v>983</v>
      </c>
      <c r="I238" s="6">
        <v>45449</v>
      </c>
      <c r="J238" s="13">
        <v>0.34562500000000002</v>
      </c>
    </row>
    <row r="239" spans="1:10" x14ac:dyDescent="0.35">
      <c r="A239" s="27">
        <v>2885608</v>
      </c>
      <c r="B239" t="s">
        <v>1119</v>
      </c>
      <c r="C239" t="s">
        <v>1126</v>
      </c>
      <c r="D239" t="s">
        <v>1120</v>
      </c>
      <c r="E239" t="s">
        <v>1121</v>
      </c>
      <c r="F239" t="s">
        <v>1127</v>
      </c>
      <c r="G239" t="s">
        <v>78</v>
      </c>
      <c r="H239" t="s">
        <v>1128</v>
      </c>
      <c r="I239" s="6">
        <v>45449</v>
      </c>
      <c r="J239" s="13">
        <v>0.34920138888888891</v>
      </c>
    </row>
    <row r="240" spans="1:10" x14ac:dyDescent="0.35">
      <c r="A240" s="27">
        <v>2885639</v>
      </c>
      <c r="B240" t="s">
        <v>1119</v>
      </c>
      <c r="C240" t="s">
        <v>1126</v>
      </c>
      <c r="D240" t="s">
        <v>1120</v>
      </c>
      <c r="E240" t="s">
        <v>1121</v>
      </c>
      <c r="F240" t="s">
        <v>1129</v>
      </c>
      <c r="G240" t="s">
        <v>78</v>
      </c>
      <c r="H240" t="s">
        <v>1130</v>
      </c>
      <c r="I240" s="6">
        <v>45449</v>
      </c>
      <c r="J240" s="13">
        <v>0.36964120370370368</v>
      </c>
    </row>
    <row r="241" spans="1:10" x14ac:dyDescent="0.35">
      <c r="A241" s="27">
        <v>2885880</v>
      </c>
      <c r="B241" t="s">
        <v>1119</v>
      </c>
      <c r="C241" t="s">
        <v>1126</v>
      </c>
      <c r="D241" t="s">
        <v>1125</v>
      </c>
      <c r="E241" t="s">
        <v>1121</v>
      </c>
      <c r="F241" t="s">
        <v>1129</v>
      </c>
      <c r="G241" t="s">
        <v>78</v>
      </c>
      <c r="H241" t="s">
        <v>983</v>
      </c>
      <c r="I241" s="6">
        <v>45449</v>
      </c>
      <c r="J241" s="13">
        <v>0.38287037037037036</v>
      </c>
    </row>
    <row r="242" spans="1:10" x14ac:dyDescent="0.35">
      <c r="A242" s="27">
        <v>2885887</v>
      </c>
      <c r="B242" t="s">
        <v>1119</v>
      </c>
      <c r="C242" t="s">
        <v>1126</v>
      </c>
      <c r="D242" t="s">
        <v>1120</v>
      </c>
      <c r="E242" t="s">
        <v>1121</v>
      </c>
      <c r="F242" t="s">
        <v>1129</v>
      </c>
      <c r="G242" t="s">
        <v>78</v>
      </c>
      <c r="H242" t="s">
        <v>1131</v>
      </c>
      <c r="I242" s="6">
        <v>45449</v>
      </c>
      <c r="J242" s="13">
        <v>0.38322916666666668</v>
      </c>
    </row>
    <row r="243" spans="1:10" x14ac:dyDescent="0.35">
      <c r="A243" s="27">
        <v>2888743</v>
      </c>
      <c r="B243" t="s">
        <v>1119</v>
      </c>
      <c r="C243" t="s">
        <v>1132</v>
      </c>
      <c r="D243" t="s">
        <v>1120</v>
      </c>
      <c r="E243" t="s">
        <v>1121</v>
      </c>
      <c r="F243" t="s">
        <v>1133</v>
      </c>
      <c r="G243" t="s">
        <v>124</v>
      </c>
      <c r="H243" t="s">
        <v>1008</v>
      </c>
      <c r="I243" s="6">
        <v>45449</v>
      </c>
      <c r="J243" s="13">
        <v>0.38467592592592592</v>
      </c>
    </row>
    <row r="244" spans="1:10" x14ac:dyDescent="0.35">
      <c r="A244" s="27">
        <v>2890496</v>
      </c>
      <c r="B244" t="s">
        <v>1119</v>
      </c>
      <c r="C244" t="s">
        <v>1134</v>
      </c>
      <c r="D244" t="s">
        <v>1120</v>
      </c>
      <c r="E244" t="s">
        <v>1121</v>
      </c>
      <c r="F244" t="s">
        <v>1135</v>
      </c>
      <c r="G244" t="s">
        <v>74</v>
      </c>
      <c r="H244" t="s">
        <v>1136</v>
      </c>
      <c r="I244" s="6">
        <v>45449</v>
      </c>
      <c r="J244" s="13">
        <v>0.38348379629629631</v>
      </c>
    </row>
    <row r="245" spans="1:10" x14ac:dyDescent="0.35">
      <c r="A245" s="27">
        <v>2890641</v>
      </c>
      <c r="B245" t="s">
        <v>1119</v>
      </c>
      <c r="C245" t="s">
        <v>365</v>
      </c>
      <c r="D245" t="s">
        <v>1120</v>
      </c>
      <c r="E245" t="s">
        <v>1121</v>
      </c>
      <c r="F245" t="s">
        <v>1137</v>
      </c>
      <c r="G245" t="s">
        <v>74</v>
      </c>
      <c r="H245" t="s">
        <v>1138</v>
      </c>
      <c r="I245" s="6">
        <v>45449</v>
      </c>
      <c r="J245" s="13">
        <v>0.38445601851851852</v>
      </c>
    </row>
    <row r="246" spans="1:10" x14ac:dyDescent="0.35">
      <c r="A246" s="27">
        <v>2890670</v>
      </c>
      <c r="B246" t="s">
        <v>1119</v>
      </c>
      <c r="C246" t="s">
        <v>1134</v>
      </c>
      <c r="D246" t="s">
        <v>1120</v>
      </c>
      <c r="E246" t="s">
        <v>1121</v>
      </c>
      <c r="F246" t="s">
        <v>1139</v>
      </c>
      <c r="G246" t="s">
        <v>74</v>
      </c>
      <c r="H246" t="s">
        <v>1140</v>
      </c>
      <c r="I246" s="6">
        <v>45449</v>
      </c>
      <c r="J246" s="13">
        <v>0.39131944444444444</v>
      </c>
    </row>
    <row r="247" spans="1:10" x14ac:dyDescent="0.35">
      <c r="A247" s="27">
        <v>2890687</v>
      </c>
      <c r="B247" t="s">
        <v>1119</v>
      </c>
      <c r="C247" t="s">
        <v>1134</v>
      </c>
      <c r="D247" t="s">
        <v>1120</v>
      </c>
      <c r="E247" t="s">
        <v>1121</v>
      </c>
      <c r="F247" t="s">
        <v>1139</v>
      </c>
      <c r="G247" t="s">
        <v>74</v>
      </c>
      <c r="H247" t="s">
        <v>1141</v>
      </c>
      <c r="I247" s="6">
        <v>45418</v>
      </c>
      <c r="J247" s="13">
        <v>0.57621527777777781</v>
      </c>
    </row>
    <row r="248" spans="1:10" x14ac:dyDescent="0.35">
      <c r="A248" s="27">
        <v>2891039</v>
      </c>
      <c r="B248" t="s">
        <v>1119</v>
      </c>
      <c r="C248" t="s">
        <v>1134</v>
      </c>
      <c r="D248" t="s">
        <v>1120</v>
      </c>
      <c r="E248" t="s">
        <v>1121</v>
      </c>
      <c r="F248" t="s">
        <v>1142</v>
      </c>
      <c r="G248" t="s">
        <v>74</v>
      </c>
      <c r="H248" t="s">
        <v>1143</v>
      </c>
      <c r="I248" s="6">
        <v>45418</v>
      </c>
      <c r="J248" s="13">
        <v>0.57722222222222219</v>
      </c>
    </row>
    <row r="249" spans="1:10" x14ac:dyDescent="0.35">
      <c r="A249" s="27">
        <v>2891102</v>
      </c>
      <c r="B249" t="s">
        <v>1119</v>
      </c>
      <c r="C249" t="s">
        <v>1134</v>
      </c>
      <c r="D249" t="s">
        <v>1120</v>
      </c>
      <c r="E249" t="s">
        <v>1121</v>
      </c>
      <c r="F249" t="s">
        <v>1144</v>
      </c>
      <c r="G249" t="s">
        <v>74</v>
      </c>
      <c r="H249" t="s">
        <v>1145</v>
      </c>
      <c r="I249" s="6">
        <v>45418</v>
      </c>
      <c r="J249" s="13">
        <v>0.57876157407407403</v>
      </c>
    </row>
    <row r="250" spans="1:10" x14ac:dyDescent="0.35">
      <c r="A250" s="27">
        <v>2893186</v>
      </c>
      <c r="B250" t="s">
        <v>1119</v>
      </c>
      <c r="C250" t="s">
        <v>1146</v>
      </c>
      <c r="D250" t="s">
        <v>1120</v>
      </c>
      <c r="E250" t="s">
        <v>1121</v>
      </c>
      <c r="F250" t="s">
        <v>1147</v>
      </c>
      <c r="G250" t="s">
        <v>127</v>
      </c>
      <c r="H250" t="s">
        <v>1148</v>
      </c>
      <c r="I250" s="6">
        <v>45418</v>
      </c>
      <c r="J250" s="13">
        <v>0.57937499999999997</v>
      </c>
    </row>
    <row r="251" spans="1:10" x14ac:dyDescent="0.35">
      <c r="A251" s="27">
        <v>2893199</v>
      </c>
      <c r="B251" t="s">
        <v>1119</v>
      </c>
      <c r="C251" t="s">
        <v>1146</v>
      </c>
      <c r="D251" t="s">
        <v>1120</v>
      </c>
      <c r="E251" t="s">
        <v>1121</v>
      </c>
      <c r="F251" t="s">
        <v>1147</v>
      </c>
      <c r="G251" t="s">
        <v>127</v>
      </c>
      <c r="H251" t="s">
        <v>1149</v>
      </c>
      <c r="I251" s="6">
        <v>45418</v>
      </c>
      <c r="J251" s="13">
        <v>0.58028935185185182</v>
      </c>
    </row>
    <row r="252" spans="1:10" x14ac:dyDescent="0.35">
      <c r="A252" s="27">
        <v>2893253</v>
      </c>
      <c r="B252" t="s">
        <v>1119</v>
      </c>
      <c r="C252" t="s">
        <v>397</v>
      </c>
      <c r="D252" t="s">
        <v>1120</v>
      </c>
      <c r="E252" t="s">
        <v>1121</v>
      </c>
      <c r="F252" t="s">
        <v>1150</v>
      </c>
      <c r="G252" t="s">
        <v>127</v>
      </c>
      <c r="H252" t="s">
        <v>1151</v>
      </c>
      <c r="I252" s="6">
        <v>45418</v>
      </c>
      <c r="J252" s="13">
        <v>0.58106481481481487</v>
      </c>
    </row>
    <row r="253" spans="1:10" x14ac:dyDescent="0.35">
      <c r="A253" s="27">
        <v>2893542</v>
      </c>
      <c r="B253" t="s">
        <v>1119</v>
      </c>
      <c r="C253" t="s">
        <v>1132</v>
      </c>
      <c r="D253" t="s">
        <v>1152</v>
      </c>
      <c r="E253" t="s">
        <v>1121</v>
      </c>
      <c r="F253" t="s">
        <v>1153</v>
      </c>
      <c r="G253" t="s">
        <v>127</v>
      </c>
      <c r="H253" t="s">
        <v>1154</v>
      </c>
      <c r="I253" s="6">
        <v>45418</v>
      </c>
      <c r="J253" s="13">
        <v>0.64982638888888888</v>
      </c>
    </row>
    <row r="254" spans="1:10" x14ac:dyDescent="0.35">
      <c r="A254" s="27">
        <v>2893581</v>
      </c>
      <c r="B254" t="s">
        <v>1119</v>
      </c>
      <c r="C254" t="s">
        <v>980</v>
      </c>
      <c r="D254" t="s">
        <v>1120</v>
      </c>
      <c r="E254" t="s">
        <v>1121</v>
      </c>
      <c r="F254" t="s">
        <v>1155</v>
      </c>
      <c r="G254" t="s">
        <v>127</v>
      </c>
      <c r="H254" t="s">
        <v>1156</v>
      </c>
      <c r="I254" s="6">
        <v>45418</v>
      </c>
      <c r="J254" s="13">
        <v>0.4856712962962963</v>
      </c>
    </row>
    <row r="255" spans="1:10" x14ac:dyDescent="0.35">
      <c r="A255" s="27">
        <v>2893787</v>
      </c>
      <c r="B255" t="s">
        <v>1119</v>
      </c>
      <c r="C255" t="s">
        <v>1157</v>
      </c>
      <c r="D255" t="s">
        <v>1120</v>
      </c>
      <c r="E255" t="s">
        <v>1121</v>
      </c>
      <c r="F255" t="s">
        <v>1158</v>
      </c>
      <c r="G255" t="s">
        <v>127</v>
      </c>
      <c r="H255" t="s">
        <v>1159</v>
      </c>
      <c r="I255" s="6">
        <v>45449</v>
      </c>
      <c r="J255" s="13">
        <v>0.71163194444444444</v>
      </c>
    </row>
    <row r="256" spans="1:10" x14ac:dyDescent="0.35">
      <c r="A256" s="27">
        <v>2894301</v>
      </c>
      <c r="B256" t="s">
        <v>1119</v>
      </c>
      <c r="C256" t="s">
        <v>758</v>
      </c>
      <c r="D256" t="s">
        <v>1120</v>
      </c>
      <c r="E256" t="s">
        <v>1121</v>
      </c>
      <c r="F256" t="s">
        <v>1160</v>
      </c>
      <c r="G256" t="s">
        <v>127</v>
      </c>
      <c r="H256" t="s">
        <v>1161</v>
      </c>
      <c r="I256" s="6">
        <v>45602</v>
      </c>
      <c r="J256" s="13">
        <v>0.45833333333333331</v>
      </c>
    </row>
    <row r="257" spans="1:10" x14ac:dyDescent="0.35">
      <c r="A257" s="27">
        <v>2894482</v>
      </c>
      <c r="B257" t="s">
        <v>1119</v>
      </c>
      <c r="C257" t="s">
        <v>1134</v>
      </c>
      <c r="D257" t="s">
        <v>1120</v>
      </c>
      <c r="E257" t="s">
        <v>1121</v>
      </c>
      <c r="F257" t="s">
        <v>1162</v>
      </c>
      <c r="G257" t="s">
        <v>127</v>
      </c>
      <c r="H257" t="s">
        <v>1163</v>
      </c>
      <c r="I257" s="6">
        <v>45632</v>
      </c>
      <c r="J257" s="13">
        <v>0.71280092592592592</v>
      </c>
    </row>
    <row r="258" spans="1:10" x14ac:dyDescent="0.35">
      <c r="A258" s="27">
        <v>2894974</v>
      </c>
      <c r="B258" t="s">
        <v>1119</v>
      </c>
      <c r="C258" t="s">
        <v>1062</v>
      </c>
      <c r="D258" t="s">
        <v>1120</v>
      </c>
      <c r="E258" t="s">
        <v>1121</v>
      </c>
      <c r="F258" t="s">
        <v>1164</v>
      </c>
      <c r="G258" t="s">
        <v>127</v>
      </c>
      <c r="H258" t="s">
        <v>1024</v>
      </c>
      <c r="I258" s="6">
        <v>45479</v>
      </c>
      <c r="J258" s="13">
        <v>0.56516203703703705</v>
      </c>
    </row>
    <row r="259" spans="1:10" x14ac:dyDescent="0.35">
      <c r="A259" s="27">
        <v>2894984</v>
      </c>
      <c r="B259" t="s">
        <v>1119</v>
      </c>
      <c r="C259" t="s">
        <v>1165</v>
      </c>
      <c r="D259" t="s">
        <v>1120</v>
      </c>
      <c r="E259" t="s">
        <v>1121</v>
      </c>
      <c r="F259" t="s">
        <v>1166</v>
      </c>
      <c r="G259" t="s">
        <v>127</v>
      </c>
      <c r="H259" t="s">
        <v>1167</v>
      </c>
      <c r="I259" s="6">
        <v>45449</v>
      </c>
      <c r="J259" s="13">
        <v>0.71084490740740736</v>
      </c>
    </row>
    <row r="260" spans="1:10" x14ac:dyDescent="0.35">
      <c r="A260" s="27">
        <v>2895070</v>
      </c>
      <c r="B260" t="s">
        <v>1119</v>
      </c>
      <c r="C260" t="s">
        <v>1168</v>
      </c>
      <c r="D260" t="s">
        <v>1120</v>
      </c>
      <c r="E260" t="s">
        <v>1121</v>
      </c>
      <c r="F260" t="s">
        <v>1169</v>
      </c>
      <c r="G260" t="s">
        <v>127</v>
      </c>
      <c r="H260" t="s">
        <v>1170</v>
      </c>
      <c r="I260" s="6">
        <v>45632</v>
      </c>
      <c r="J260" s="13">
        <v>0.70803240740740736</v>
      </c>
    </row>
    <row r="261" spans="1:10" x14ac:dyDescent="0.35">
      <c r="A261" s="27">
        <v>2895074</v>
      </c>
      <c r="B261" t="s">
        <v>1119</v>
      </c>
      <c r="C261" t="s">
        <v>1168</v>
      </c>
      <c r="D261" t="s">
        <v>1120</v>
      </c>
      <c r="E261" t="s">
        <v>1121</v>
      </c>
      <c r="F261" t="s">
        <v>1169</v>
      </c>
      <c r="G261" t="s">
        <v>127</v>
      </c>
      <c r="H261" t="s">
        <v>1171</v>
      </c>
      <c r="I261" s="6">
        <v>45632</v>
      </c>
      <c r="J261" s="13">
        <v>0.66532407407407412</v>
      </c>
    </row>
    <row r="262" spans="1:10" x14ac:dyDescent="0.35">
      <c r="A262" s="27">
        <v>2895085</v>
      </c>
      <c r="B262" t="s">
        <v>1119</v>
      </c>
      <c r="C262" t="s">
        <v>1168</v>
      </c>
      <c r="D262" t="s">
        <v>1120</v>
      </c>
      <c r="E262" t="s">
        <v>1121</v>
      </c>
      <c r="F262" t="s">
        <v>1172</v>
      </c>
      <c r="G262" t="s">
        <v>127</v>
      </c>
      <c r="H262" t="s">
        <v>1173</v>
      </c>
      <c r="I262" s="6">
        <v>45632</v>
      </c>
      <c r="J262" s="13">
        <v>0.45633101851851854</v>
      </c>
    </row>
    <row r="263" spans="1:10" x14ac:dyDescent="0.35">
      <c r="A263" s="27">
        <v>2895090</v>
      </c>
      <c r="B263" t="s">
        <v>1119</v>
      </c>
      <c r="C263" t="s">
        <v>1168</v>
      </c>
      <c r="D263" t="s">
        <v>1120</v>
      </c>
      <c r="E263" t="s">
        <v>1121</v>
      </c>
      <c r="F263" t="s">
        <v>1172</v>
      </c>
      <c r="G263" t="s">
        <v>127</v>
      </c>
      <c r="H263" t="s">
        <v>1174</v>
      </c>
      <c r="I263" s="6">
        <v>45632</v>
      </c>
      <c r="J263" s="13">
        <v>0.45634259259259258</v>
      </c>
    </row>
    <row r="264" spans="1:10" x14ac:dyDescent="0.35">
      <c r="A264" s="27">
        <v>2895113</v>
      </c>
      <c r="B264" t="s">
        <v>1119</v>
      </c>
      <c r="C264" t="s">
        <v>1168</v>
      </c>
      <c r="D264" t="s">
        <v>1120</v>
      </c>
      <c r="E264" t="s">
        <v>1121</v>
      </c>
      <c r="F264" t="s">
        <v>1175</v>
      </c>
      <c r="G264" t="s">
        <v>127</v>
      </c>
      <c r="H264" t="s">
        <v>1176</v>
      </c>
      <c r="I264" s="6">
        <v>45632</v>
      </c>
      <c r="J264" s="13">
        <v>0.41415509259259259</v>
      </c>
    </row>
    <row r="265" spans="1:10" x14ac:dyDescent="0.35">
      <c r="A265" s="27">
        <v>2895200</v>
      </c>
      <c r="B265" t="s">
        <v>1119</v>
      </c>
      <c r="C265" t="s">
        <v>1146</v>
      </c>
      <c r="D265" t="s">
        <v>1120</v>
      </c>
      <c r="E265" t="s">
        <v>1121</v>
      </c>
      <c r="F265" t="s">
        <v>1177</v>
      </c>
      <c r="G265" t="s">
        <v>127</v>
      </c>
      <c r="H265" t="s">
        <v>1178</v>
      </c>
      <c r="I265" s="6">
        <v>45632</v>
      </c>
      <c r="J265" s="13">
        <v>0.47625000000000001</v>
      </c>
    </row>
    <row r="266" spans="1:10" x14ac:dyDescent="0.35">
      <c r="A266" s="27">
        <v>2895252</v>
      </c>
      <c r="B266" t="s">
        <v>1119</v>
      </c>
      <c r="C266" t="s">
        <v>1146</v>
      </c>
      <c r="D266" t="s">
        <v>1120</v>
      </c>
      <c r="E266" t="s">
        <v>1121</v>
      </c>
      <c r="F266" t="s">
        <v>1177</v>
      </c>
      <c r="G266" t="s">
        <v>127</v>
      </c>
      <c r="H266" t="s">
        <v>1179</v>
      </c>
      <c r="I266" s="6">
        <v>45632</v>
      </c>
      <c r="J266" s="13">
        <v>0.49126157407407406</v>
      </c>
    </row>
    <row r="267" spans="1:10" x14ac:dyDescent="0.35">
      <c r="A267" s="27">
        <v>2895919</v>
      </c>
      <c r="B267" t="s">
        <v>1119</v>
      </c>
      <c r="C267" t="s">
        <v>1180</v>
      </c>
      <c r="D267" t="s">
        <v>1125</v>
      </c>
      <c r="E267" t="s">
        <v>1121</v>
      </c>
      <c r="F267" t="s">
        <v>1181</v>
      </c>
      <c r="G267" t="s">
        <v>141</v>
      </c>
      <c r="H267" t="s">
        <v>983</v>
      </c>
      <c r="I267" s="6">
        <v>45632</v>
      </c>
      <c r="J267" s="13">
        <v>0.49440972222222224</v>
      </c>
    </row>
    <row r="268" spans="1:10" x14ac:dyDescent="0.35">
      <c r="A268" s="27">
        <v>2896108</v>
      </c>
      <c r="B268" t="s">
        <v>1119</v>
      </c>
      <c r="C268" t="s">
        <v>371</v>
      </c>
      <c r="D268" t="s">
        <v>1120</v>
      </c>
      <c r="E268" t="s">
        <v>1121</v>
      </c>
      <c r="F268" t="s">
        <v>1182</v>
      </c>
      <c r="G268" t="s">
        <v>141</v>
      </c>
      <c r="H268" t="s">
        <v>1024</v>
      </c>
      <c r="I268" s="6">
        <v>45632</v>
      </c>
      <c r="J268" s="13">
        <v>0.62335648148148148</v>
      </c>
    </row>
    <row r="269" spans="1:10" x14ac:dyDescent="0.35">
      <c r="A269" s="27">
        <v>2896887</v>
      </c>
      <c r="B269" t="s">
        <v>1119</v>
      </c>
      <c r="C269" t="s">
        <v>1183</v>
      </c>
      <c r="D269" t="s">
        <v>1120</v>
      </c>
      <c r="E269" t="s">
        <v>1121</v>
      </c>
      <c r="F269" t="s">
        <v>1184</v>
      </c>
      <c r="G269" t="s">
        <v>141</v>
      </c>
      <c r="H269" t="s">
        <v>1185</v>
      </c>
      <c r="I269" s="6">
        <v>45632</v>
      </c>
      <c r="J269" s="13">
        <v>0.58333333333333337</v>
      </c>
    </row>
    <row r="270" spans="1:10" x14ac:dyDescent="0.35">
      <c r="A270" s="27">
        <v>2897760</v>
      </c>
      <c r="B270" t="s">
        <v>1119</v>
      </c>
      <c r="C270" t="s">
        <v>1186</v>
      </c>
      <c r="D270" t="s">
        <v>1120</v>
      </c>
      <c r="E270" t="s">
        <v>1121</v>
      </c>
      <c r="F270" t="s">
        <v>1187</v>
      </c>
      <c r="G270" t="s">
        <v>141</v>
      </c>
      <c r="H270" t="s">
        <v>1008</v>
      </c>
      <c r="I270" s="6">
        <v>45632</v>
      </c>
      <c r="J270" s="13">
        <v>0.49505787037037036</v>
      </c>
    </row>
    <row r="271" spans="1:10" x14ac:dyDescent="0.35">
      <c r="A271" s="27">
        <v>2537298</v>
      </c>
      <c r="B271" t="s">
        <v>21</v>
      </c>
      <c r="C271" t="s">
        <v>22</v>
      </c>
      <c r="D271" t="s">
        <v>384</v>
      </c>
      <c r="E271" t="s">
        <v>1188</v>
      </c>
      <c r="F271" t="s">
        <v>1189</v>
      </c>
      <c r="G271" t="s">
        <v>1190</v>
      </c>
      <c r="H271" t="s">
        <v>1191</v>
      </c>
      <c r="I271" s="6">
        <v>45632</v>
      </c>
      <c r="J271" s="13">
        <v>0.67421296296296296</v>
      </c>
    </row>
    <row r="272" spans="1:10" x14ac:dyDescent="0.35">
      <c r="A272" s="27">
        <v>2613432</v>
      </c>
      <c r="B272" t="s">
        <v>21</v>
      </c>
      <c r="C272" t="s">
        <v>22</v>
      </c>
      <c r="D272" t="s">
        <v>384</v>
      </c>
      <c r="E272" t="s">
        <v>1188</v>
      </c>
      <c r="F272" t="s">
        <v>1192</v>
      </c>
      <c r="G272" t="s">
        <v>98</v>
      </c>
      <c r="H272" t="s">
        <v>1193</v>
      </c>
      <c r="I272" s="6">
        <v>45632</v>
      </c>
      <c r="J272" s="13">
        <v>0.5</v>
      </c>
    </row>
    <row r="273" spans="1:10" x14ac:dyDescent="0.35">
      <c r="A273" s="27">
        <v>2647073</v>
      </c>
      <c r="B273" t="s">
        <v>531</v>
      </c>
      <c r="C273" t="s">
        <v>532</v>
      </c>
      <c r="D273" t="s">
        <v>387</v>
      </c>
      <c r="E273" t="s">
        <v>1188</v>
      </c>
      <c r="F273" t="s">
        <v>533</v>
      </c>
      <c r="G273" t="s">
        <v>128</v>
      </c>
      <c r="H273" t="s">
        <v>983</v>
      </c>
      <c r="I273" s="6">
        <v>45632</v>
      </c>
      <c r="J273" s="13">
        <v>0.5</v>
      </c>
    </row>
    <row r="274" spans="1:10" x14ac:dyDescent="0.35">
      <c r="A274" s="27">
        <v>2667813</v>
      </c>
      <c r="B274" t="s">
        <v>385</v>
      </c>
      <c r="C274" t="s">
        <v>334</v>
      </c>
      <c r="D274" t="s">
        <v>387</v>
      </c>
      <c r="E274" t="s">
        <v>1188</v>
      </c>
      <c r="F274" t="s">
        <v>390</v>
      </c>
      <c r="G274" t="s">
        <v>94</v>
      </c>
      <c r="H274" t="s">
        <v>983</v>
      </c>
      <c r="I274" s="6">
        <v>45632</v>
      </c>
      <c r="J274" s="13">
        <v>0.5</v>
      </c>
    </row>
    <row r="275" spans="1:10" x14ac:dyDescent="0.35">
      <c r="A275" s="27">
        <v>2720150</v>
      </c>
      <c r="B275" t="s">
        <v>385</v>
      </c>
      <c r="C275" t="s">
        <v>382</v>
      </c>
      <c r="D275" t="s">
        <v>387</v>
      </c>
      <c r="E275" t="s">
        <v>1188</v>
      </c>
      <c r="F275" t="s">
        <v>391</v>
      </c>
      <c r="G275" t="s">
        <v>126</v>
      </c>
      <c r="H275" t="s">
        <v>983</v>
      </c>
      <c r="I275" s="6">
        <v>45602</v>
      </c>
      <c r="J275" s="13">
        <v>0.62016203703703698</v>
      </c>
    </row>
    <row r="276" spans="1:10" x14ac:dyDescent="0.35">
      <c r="A276" s="27">
        <v>2720437</v>
      </c>
      <c r="B276" t="s">
        <v>385</v>
      </c>
      <c r="C276" t="s">
        <v>382</v>
      </c>
      <c r="D276" t="s">
        <v>387</v>
      </c>
      <c r="E276" t="s">
        <v>1188</v>
      </c>
      <c r="F276" t="s">
        <v>392</v>
      </c>
      <c r="G276" t="s">
        <v>126</v>
      </c>
      <c r="H276" t="s">
        <v>983</v>
      </c>
      <c r="I276" s="6">
        <v>45632</v>
      </c>
      <c r="J276" s="13">
        <v>0.61747685185185186</v>
      </c>
    </row>
    <row r="277" spans="1:10" x14ac:dyDescent="0.35">
      <c r="A277" s="27">
        <v>2722044</v>
      </c>
      <c r="B277" t="s">
        <v>385</v>
      </c>
      <c r="C277" t="s">
        <v>382</v>
      </c>
      <c r="D277" t="s">
        <v>387</v>
      </c>
      <c r="E277" t="s">
        <v>1188</v>
      </c>
      <c r="F277" t="s">
        <v>393</v>
      </c>
      <c r="G277" t="s">
        <v>126</v>
      </c>
      <c r="H277" t="s">
        <v>983</v>
      </c>
      <c r="I277" s="6">
        <v>45632</v>
      </c>
      <c r="J277" s="13">
        <v>0.42163194444444446</v>
      </c>
    </row>
    <row r="278" spans="1:10" x14ac:dyDescent="0.35">
      <c r="A278" s="27">
        <v>2722300</v>
      </c>
      <c r="B278" t="s">
        <v>385</v>
      </c>
      <c r="C278" t="s">
        <v>382</v>
      </c>
      <c r="D278" t="s">
        <v>387</v>
      </c>
      <c r="E278" t="s">
        <v>1188</v>
      </c>
      <c r="F278" t="s">
        <v>394</v>
      </c>
      <c r="G278" t="s">
        <v>126</v>
      </c>
      <c r="H278" t="s">
        <v>983</v>
      </c>
      <c r="I278" s="6">
        <v>45602</v>
      </c>
      <c r="J278" s="13">
        <v>0.71167824074074071</v>
      </c>
    </row>
    <row r="279" spans="1:10" x14ac:dyDescent="0.35">
      <c r="A279" s="27">
        <v>2726055</v>
      </c>
      <c r="B279" t="s">
        <v>385</v>
      </c>
      <c r="C279" t="s">
        <v>395</v>
      </c>
      <c r="D279" t="s">
        <v>387</v>
      </c>
      <c r="E279" t="s">
        <v>1188</v>
      </c>
      <c r="F279" t="s">
        <v>396</v>
      </c>
      <c r="G279" t="s">
        <v>126</v>
      </c>
      <c r="H279" t="s">
        <v>983</v>
      </c>
      <c r="I279" s="6">
        <v>45632</v>
      </c>
      <c r="J279" s="13">
        <v>0.42167824074074073</v>
      </c>
    </row>
    <row r="280" spans="1:10" x14ac:dyDescent="0.35">
      <c r="A280" s="27">
        <v>2794087</v>
      </c>
      <c r="B280" t="s">
        <v>385</v>
      </c>
      <c r="C280" t="s">
        <v>1194</v>
      </c>
      <c r="D280" t="s">
        <v>387</v>
      </c>
      <c r="E280" t="s">
        <v>1188</v>
      </c>
      <c r="F280" t="s">
        <v>1195</v>
      </c>
      <c r="G280" t="s">
        <v>95</v>
      </c>
      <c r="H280" t="s">
        <v>983</v>
      </c>
      <c r="I280" s="6">
        <v>45632</v>
      </c>
      <c r="J280" s="13">
        <v>0.34998842592592594</v>
      </c>
    </row>
    <row r="281" spans="1:10" x14ac:dyDescent="0.35">
      <c r="A281" s="27">
        <v>2859724</v>
      </c>
      <c r="B281" t="s">
        <v>385</v>
      </c>
      <c r="C281" t="s">
        <v>397</v>
      </c>
      <c r="D281" t="s">
        <v>387</v>
      </c>
      <c r="E281" t="s">
        <v>1188</v>
      </c>
      <c r="F281" t="s">
        <v>390</v>
      </c>
      <c r="G281" t="s">
        <v>114</v>
      </c>
      <c r="H281" t="s">
        <v>983</v>
      </c>
      <c r="I281" s="6">
        <v>45632</v>
      </c>
      <c r="J281" s="13">
        <v>0.4216435185185185</v>
      </c>
    </row>
    <row r="282" spans="1:10" x14ac:dyDescent="0.35">
      <c r="A282" s="27">
        <v>2860588</v>
      </c>
      <c r="B282" t="s">
        <v>385</v>
      </c>
      <c r="C282" t="s">
        <v>1196</v>
      </c>
      <c r="D282" t="s">
        <v>387</v>
      </c>
      <c r="E282" t="s">
        <v>1188</v>
      </c>
      <c r="F282" t="s">
        <v>1197</v>
      </c>
      <c r="G282" t="s">
        <v>114</v>
      </c>
      <c r="H282" t="s">
        <v>983</v>
      </c>
      <c r="I282" s="6">
        <v>45632</v>
      </c>
      <c r="J282" s="13">
        <v>0.33466435185185184</v>
      </c>
    </row>
    <row r="283" spans="1:10" x14ac:dyDescent="0.35">
      <c r="A283" s="27">
        <v>2861113</v>
      </c>
      <c r="B283" t="s">
        <v>385</v>
      </c>
      <c r="C283" t="s">
        <v>382</v>
      </c>
      <c r="D283" t="s">
        <v>387</v>
      </c>
      <c r="E283" t="s">
        <v>1188</v>
      </c>
      <c r="F283" t="s">
        <v>534</v>
      </c>
      <c r="G283" t="s">
        <v>114</v>
      </c>
      <c r="H283" t="s">
        <v>983</v>
      </c>
      <c r="I283" s="6">
        <v>45632</v>
      </c>
      <c r="J283" s="13">
        <v>0.37613425925925925</v>
      </c>
    </row>
    <row r="284" spans="1:10" x14ac:dyDescent="0.35">
      <c r="A284" s="27">
        <v>2861181</v>
      </c>
      <c r="B284" t="s">
        <v>385</v>
      </c>
      <c r="C284" t="s">
        <v>773</v>
      </c>
      <c r="D284" t="s">
        <v>387</v>
      </c>
      <c r="E284" t="s">
        <v>1188</v>
      </c>
      <c r="F284" t="s">
        <v>774</v>
      </c>
      <c r="G284" t="s">
        <v>114</v>
      </c>
      <c r="H284" t="s">
        <v>983</v>
      </c>
      <c r="I284" s="6">
        <v>45632</v>
      </c>
      <c r="J284" s="13">
        <v>0.35222222222222221</v>
      </c>
    </row>
    <row r="285" spans="1:10" x14ac:dyDescent="0.35">
      <c r="A285" s="27">
        <v>2862171</v>
      </c>
      <c r="B285" t="s">
        <v>385</v>
      </c>
      <c r="C285" t="s">
        <v>397</v>
      </c>
      <c r="D285" t="s">
        <v>387</v>
      </c>
      <c r="E285" t="s">
        <v>1188</v>
      </c>
      <c r="F285" t="s">
        <v>390</v>
      </c>
      <c r="G285" t="s">
        <v>102</v>
      </c>
      <c r="H285" t="s">
        <v>983</v>
      </c>
      <c r="I285" s="6">
        <v>45632</v>
      </c>
      <c r="J285" s="13">
        <v>0.35239583333333335</v>
      </c>
    </row>
    <row r="286" spans="1:10" x14ac:dyDescent="0.35">
      <c r="A286" s="27">
        <v>2869790</v>
      </c>
      <c r="B286" t="s">
        <v>385</v>
      </c>
      <c r="C286" t="s">
        <v>758</v>
      </c>
      <c r="D286" t="s">
        <v>387</v>
      </c>
      <c r="E286" t="s">
        <v>1188</v>
      </c>
      <c r="F286" t="s">
        <v>1198</v>
      </c>
      <c r="G286" t="s">
        <v>135</v>
      </c>
      <c r="H286" t="s">
        <v>983</v>
      </c>
      <c r="I286" s="6">
        <v>45632</v>
      </c>
      <c r="J286" s="13">
        <v>0.46359953703703705</v>
      </c>
    </row>
    <row r="287" spans="1:10" x14ac:dyDescent="0.35">
      <c r="A287" s="27">
        <v>2869876</v>
      </c>
      <c r="B287" t="s">
        <v>21</v>
      </c>
      <c r="C287" t="s">
        <v>22</v>
      </c>
      <c r="D287" t="s">
        <v>384</v>
      </c>
      <c r="E287" t="s">
        <v>1188</v>
      </c>
      <c r="F287" t="s">
        <v>400</v>
      </c>
      <c r="G287" t="s">
        <v>135</v>
      </c>
      <c r="H287" t="s">
        <v>1199</v>
      </c>
      <c r="I287" s="6">
        <v>45632</v>
      </c>
      <c r="J287" s="13">
        <v>0.70225694444444442</v>
      </c>
    </row>
    <row r="288" spans="1:10" x14ac:dyDescent="0.35">
      <c r="A288" s="27">
        <v>2872462</v>
      </c>
      <c r="B288" t="s">
        <v>385</v>
      </c>
      <c r="C288" t="s">
        <v>401</v>
      </c>
      <c r="D288" t="s">
        <v>387</v>
      </c>
      <c r="E288" t="s">
        <v>1188</v>
      </c>
      <c r="F288" t="s">
        <v>402</v>
      </c>
      <c r="G288" t="s">
        <v>135</v>
      </c>
      <c r="H288" t="s">
        <v>983</v>
      </c>
      <c r="I288" s="6">
        <v>45632</v>
      </c>
      <c r="J288" s="13">
        <v>0.70251157407407405</v>
      </c>
    </row>
    <row r="289" spans="1:10" x14ac:dyDescent="0.35">
      <c r="A289" s="27">
        <v>2872804</v>
      </c>
      <c r="B289" t="s">
        <v>21</v>
      </c>
      <c r="C289" t="s">
        <v>22</v>
      </c>
      <c r="D289" t="s">
        <v>384</v>
      </c>
      <c r="E289" t="s">
        <v>1188</v>
      </c>
      <c r="F289" t="s">
        <v>1200</v>
      </c>
      <c r="G289" t="s">
        <v>135</v>
      </c>
      <c r="H289" t="s">
        <v>1201</v>
      </c>
      <c r="I289" s="6">
        <v>45632</v>
      </c>
      <c r="J289" s="13">
        <v>0.70291666666666663</v>
      </c>
    </row>
    <row r="290" spans="1:10" x14ac:dyDescent="0.35">
      <c r="A290" s="27">
        <v>2872834</v>
      </c>
      <c r="B290" t="s">
        <v>21</v>
      </c>
      <c r="C290" t="s">
        <v>22</v>
      </c>
      <c r="D290" t="s">
        <v>384</v>
      </c>
      <c r="E290" t="s">
        <v>1188</v>
      </c>
      <c r="F290" t="s">
        <v>1200</v>
      </c>
      <c r="G290" t="s">
        <v>135</v>
      </c>
      <c r="H290" t="s">
        <v>1202</v>
      </c>
      <c r="I290" s="6">
        <v>45632</v>
      </c>
      <c r="J290" s="13">
        <v>0.49557870370370372</v>
      </c>
    </row>
    <row r="291" spans="1:10" x14ac:dyDescent="0.35">
      <c r="A291" s="27">
        <v>2873244</v>
      </c>
      <c r="B291" t="s">
        <v>21</v>
      </c>
      <c r="C291" t="s">
        <v>22</v>
      </c>
      <c r="D291" t="s">
        <v>384</v>
      </c>
      <c r="E291" t="s">
        <v>1188</v>
      </c>
      <c r="F291" t="s">
        <v>403</v>
      </c>
      <c r="G291" t="s">
        <v>135</v>
      </c>
      <c r="H291" t="s">
        <v>1203</v>
      </c>
      <c r="I291" s="6">
        <v>45632</v>
      </c>
      <c r="J291" s="13">
        <v>0.48974537037037036</v>
      </c>
    </row>
    <row r="292" spans="1:10" x14ac:dyDescent="0.35">
      <c r="A292" s="27">
        <v>2878013</v>
      </c>
      <c r="B292" t="s">
        <v>385</v>
      </c>
      <c r="C292" t="s">
        <v>1204</v>
      </c>
      <c r="D292" t="s">
        <v>387</v>
      </c>
      <c r="E292" t="s">
        <v>1188</v>
      </c>
      <c r="F292" t="s">
        <v>1205</v>
      </c>
      <c r="G292" t="s">
        <v>129</v>
      </c>
      <c r="H292" t="s">
        <v>983</v>
      </c>
      <c r="I292" s="6">
        <v>45632</v>
      </c>
      <c r="J292" s="13">
        <v>0.4927199074074074</v>
      </c>
    </row>
    <row r="293" spans="1:10" x14ac:dyDescent="0.35">
      <c r="A293" s="27">
        <v>2878601</v>
      </c>
      <c r="B293" t="s">
        <v>21</v>
      </c>
      <c r="C293" t="s">
        <v>22</v>
      </c>
      <c r="D293" t="s">
        <v>384</v>
      </c>
      <c r="E293" t="s">
        <v>1188</v>
      </c>
      <c r="F293" t="s">
        <v>1206</v>
      </c>
      <c r="G293" t="s">
        <v>129</v>
      </c>
      <c r="H293" t="s">
        <v>1207</v>
      </c>
      <c r="I293" s="6">
        <v>45632</v>
      </c>
      <c r="J293" s="13">
        <v>0.49385416666666665</v>
      </c>
    </row>
    <row r="294" spans="1:10" x14ac:dyDescent="0.35">
      <c r="A294" s="27">
        <v>2879256</v>
      </c>
      <c r="B294" t="s">
        <v>21</v>
      </c>
      <c r="C294" t="s">
        <v>22</v>
      </c>
      <c r="D294" t="s">
        <v>384</v>
      </c>
      <c r="E294" t="s">
        <v>1188</v>
      </c>
      <c r="F294" t="s">
        <v>1208</v>
      </c>
      <c r="G294" t="s">
        <v>129</v>
      </c>
      <c r="H294" t="s">
        <v>1209</v>
      </c>
      <c r="I294" s="6">
        <v>45632</v>
      </c>
      <c r="J294" s="13">
        <v>0.49326388888888889</v>
      </c>
    </row>
    <row r="295" spans="1:10" x14ac:dyDescent="0.35">
      <c r="A295" s="27">
        <v>2879732</v>
      </c>
      <c r="B295" t="s">
        <v>21</v>
      </c>
      <c r="C295" t="s">
        <v>22</v>
      </c>
      <c r="D295" t="s">
        <v>384</v>
      </c>
      <c r="E295" t="s">
        <v>1188</v>
      </c>
      <c r="F295" t="s">
        <v>404</v>
      </c>
      <c r="G295" t="s">
        <v>129</v>
      </c>
      <c r="H295" t="s">
        <v>1210</v>
      </c>
      <c r="I295" s="6">
        <v>45602</v>
      </c>
      <c r="J295" s="13">
        <v>0.7117013888888889</v>
      </c>
    </row>
    <row r="296" spans="1:10" x14ac:dyDescent="0.35">
      <c r="A296" s="27">
        <v>2881899</v>
      </c>
      <c r="B296" t="s">
        <v>21</v>
      </c>
      <c r="C296" t="s">
        <v>22</v>
      </c>
      <c r="D296" t="s">
        <v>384</v>
      </c>
      <c r="E296" t="s">
        <v>1188</v>
      </c>
      <c r="F296" t="s">
        <v>1211</v>
      </c>
      <c r="G296" t="s">
        <v>116</v>
      </c>
      <c r="H296" t="s">
        <v>1212</v>
      </c>
      <c r="I296" s="6">
        <v>45632</v>
      </c>
      <c r="J296" s="13">
        <v>0.36593750000000003</v>
      </c>
    </row>
    <row r="297" spans="1:10" x14ac:dyDescent="0.35">
      <c r="A297" s="27">
        <v>2882599</v>
      </c>
      <c r="B297" t="s">
        <v>21</v>
      </c>
      <c r="C297" t="s">
        <v>22</v>
      </c>
      <c r="D297" t="s">
        <v>384</v>
      </c>
      <c r="E297" t="s">
        <v>1188</v>
      </c>
      <c r="F297" t="s">
        <v>405</v>
      </c>
      <c r="G297" t="s">
        <v>116</v>
      </c>
      <c r="H297" t="s">
        <v>1213</v>
      </c>
      <c r="I297" s="6">
        <v>45632</v>
      </c>
      <c r="J297" s="13">
        <v>0.48052083333333334</v>
      </c>
    </row>
    <row r="298" spans="1:10" x14ac:dyDescent="0.35">
      <c r="A298" s="27">
        <v>2885300</v>
      </c>
      <c r="B298" t="s">
        <v>21</v>
      </c>
      <c r="C298" t="s">
        <v>22</v>
      </c>
      <c r="D298" t="s">
        <v>384</v>
      </c>
      <c r="E298" t="s">
        <v>1188</v>
      </c>
      <c r="F298" t="s">
        <v>408</v>
      </c>
      <c r="G298" t="s">
        <v>78</v>
      </c>
      <c r="H298" t="s">
        <v>1214</v>
      </c>
      <c r="I298" s="6">
        <v>45632</v>
      </c>
      <c r="J298" s="13">
        <v>0.42160879629629627</v>
      </c>
    </row>
    <row r="299" spans="1:10" x14ac:dyDescent="0.35">
      <c r="A299" s="27">
        <v>2888379</v>
      </c>
      <c r="B299" t="s">
        <v>21</v>
      </c>
      <c r="C299" t="s">
        <v>22</v>
      </c>
      <c r="D299" t="s">
        <v>384</v>
      </c>
      <c r="E299" t="s">
        <v>1188</v>
      </c>
      <c r="F299" t="s">
        <v>412</v>
      </c>
      <c r="G299" t="s">
        <v>124</v>
      </c>
      <c r="H299" t="s">
        <v>1215</v>
      </c>
      <c r="I299" s="6">
        <v>45632</v>
      </c>
      <c r="J299" s="13">
        <v>0.33525462962962965</v>
      </c>
    </row>
    <row r="300" spans="1:10" x14ac:dyDescent="0.35">
      <c r="A300" s="27">
        <v>2888624</v>
      </c>
      <c r="B300" t="s">
        <v>21</v>
      </c>
      <c r="C300" t="s">
        <v>22</v>
      </c>
      <c r="D300" t="s">
        <v>384</v>
      </c>
      <c r="E300" t="s">
        <v>1188</v>
      </c>
      <c r="F300" t="s">
        <v>299</v>
      </c>
      <c r="G300" t="s">
        <v>124</v>
      </c>
      <c r="H300" t="s">
        <v>1216</v>
      </c>
      <c r="I300" s="6">
        <v>45632</v>
      </c>
      <c r="J300" s="13">
        <v>0.38322916666666668</v>
      </c>
    </row>
    <row r="301" spans="1:10" x14ac:dyDescent="0.35">
      <c r="A301" s="27">
        <v>2888718</v>
      </c>
      <c r="B301" t="s">
        <v>21</v>
      </c>
      <c r="C301" t="s">
        <v>22</v>
      </c>
      <c r="D301" t="s">
        <v>384</v>
      </c>
      <c r="E301" t="s">
        <v>1188</v>
      </c>
      <c r="F301" t="s">
        <v>299</v>
      </c>
      <c r="G301" t="s">
        <v>124</v>
      </c>
      <c r="H301" t="s">
        <v>1217</v>
      </c>
      <c r="I301" s="6">
        <v>45632</v>
      </c>
      <c r="J301" s="13">
        <v>0.41293981481481479</v>
      </c>
    </row>
    <row r="302" spans="1:10" x14ac:dyDescent="0.35">
      <c r="A302" s="27">
        <v>2888736</v>
      </c>
      <c r="B302" t="s">
        <v>21</v>
      </c>
      <c r="C302" t="s">
        <v>22</v>
      </c>
      <c r="D302" t="s">
        <v>384</v>
      </c>
      <c r="E302" t="s">
        <v>1188</v>
      </c>
      <c r="F302" t="s">
        <v>776</v>
      </c>
      <c r="G302" t="s">
        <v>124</v>
      </c>
      <c r="H302" t="s">
        <v>1218</v>
      </c>
      <c r="I302" s="6">
        <v>45632</v>
      </c>
      <c r="J302" s="13">
        <v>0.703587962962963</v>
      </c>
    </row>
    <row r="303" spans="1:10" x14ac:dyDescent="0.35">
      <c r="A303" s="27">
        <v>2889512</v>
      </c>
      <c r="B303" t="s">
        <v>21</v>
      </c>
      <c r="C303" t="s">
        <v>22</v>
      </c>
      <c r="D303" t="s">
        <v>384</v>
      </c>
      <c r="E303" t="s">
        <v>1188</v>
      </c>
      <c r="F303" t="s">
        <v>413</v>
      </c>
      <c r="G303" t="s">
        <v>124</v>
      </c>
      <c r="H303" t="s">
        <v>1219</v>
      </c>
      <c r="I303" s="6">
        <v>45632</v>
      </c>
      <c r="J303" s="13">
        <v>0.5</v>
      </c>
    </row>
    <row r="304" spans="1:10" x14ac:dyDescent="0.35">
      <c r="A304" s="27">
        <v>2890822</v>
      </c>
      <c r="B304" t="s">
        <v>21</v>
      </c>
      <c r="C304" t="s">
        <v>22</v>
      </c>
      <c r="D304" t="s">
        <v>384</v>
      </c>
      <c r="E304" t="s">
        <v>1188</v>
      </c>
      <c r="F304" t="s">
        <v>1220</v>
      </c>
      <c r="G304" t="s">
        <v>74</v>
      </c>
      <c r="H304" t="s">
        <v>1221</v>
      </c>
      <c r="I304" s="6">
        <v>45632</v>
      </c>
      <c r="J304" s="13">
        <v>0.5</v>
      </c>
    </row>
    <row r="305" spans="1:10" x14ac:dyDescent="0.35">
      <c r="A305" s="27">
        <v>2895278</v>
      </c>
      <c r="B305" t="s">
        <v>21</v>
      </c>
      <c r="C305" t="s">
        <v>22</v>
      </c>
      <c r="D305" t="s">
        <v>384</v>
      </c>
      <c r="E305" t="s">
        <v>1188</v>
      </c>
      <c r="F305" t="s">
        <v>1222</v>
      </c>
      <c r="G305" t="s">
        <v>127</v>
      </c>
      <c r="H305" t="s">
        <v>1223</v>
      </c>
      <c r="I305" s="6">
        <v>45632</v>
      </c>
      <c r="J305" s="13">
        <v>0.46532407407407406</v>
      </c>
    </row>
    <row r="306" spans="1:10" x14ac:dyDescent="0.35">
      <c r="A306" s="27">
        <v>2896692</v>
      </c>
      <c r="B306" t="s">
        <v>385</v>
      </c>
      <c r="C306" t="s">
        <v>997</v>
      </c>
      <c r="D306" t="s">
        <v>387</v>
      </c>
      <c r="E306" t="s">
        <v>1188</v>
      </c>
      <c r="F306" t="s">
        <v>1224</v>
      </c>
      <c r="G306" t="s">
        <v>141</v>
      </c>
      <c r="H306" t="s">
        <v>983</v>
      </c>
      <c r="I306" s="6">
        <v>45632</v>
      </c>
      <c r="J306" s="13">
        <v>0.5</v>
      </c>
    </row>
    <row r="307" spans="1:10" x14ac:dyDescent="0.35">
      <c r="A307" s="27">
        <v>2486206</v>
      </c>
      <c r="B307" t="s">
        <v>454</v>
      </c>
      <c r="C307" t="s">
        <v>779</v>
      </c>
      <c r="D307" t="s">
        <v>456</v>
      </c>
      <c r="E307" t="s">
        <v>1225</v>
      </c>
      <c r="F307" t="s">
        <v>780</v>
      </c>
      <c r="G307" t="s">
        <v>502</v>
      </c>
      <c r="H307" t="s">
        <v>1226</v>
      </c>
      <c r="I307" s="6">
        <v>45632</v>
      </c>
      <c r="J307" s="13">
        <v>0.5</v>
      </c>
    </row>
    <row r="308" spans="1:10" x14ac:dyDescent="0.35">
      <c r="A308" s="27">
        <v>2523668</v>
      </c>
      <c r="B308" t="s">
        <v>445</v>
      </c>
      <c r="C308" t="s">
        <v>781</v>
      </c>
      <c r="D308" t="s">
        <v>447</v>
      </c>
      <c r="E308" t="s">
        <v>1225</v>
      </c>
      <c r="F308" t="s">
        <v>782</v>
      </c>
      <c r="G308" t="s">
        <v>783</v>
      </c>
      <c r="H308" t="s">
        <v>1227</v>
      </c>
      <c r="I308" s="6">
        <v>45632</v>
      </c>
      <c r="J308" s="13">
        <v>0.5</v>
      </c>
    </row>
    <row r="309" spans="1:10" x14ac:dyDescent="0.35">
      <c r="A309" s="27">
        <v>2578313</v>
      </c>
      <c r="B309" t="s">
        <v>454</v>
      </c>
      <c r="C309" t="s">
        <v>784</v>
      </c>
      <c r="D309" t="s">
        <v>456</v>
      </c>
      <c r="E309" t="s">
        <v>1225</v>
      </c>
      <c r="F309" t="s">
        <v>785</v>
      </c>
      <c r="G309" t="s">
        <v>89</v>
      </c>
      <c r="H309" t="s">
        <v>1228</v>
      </c>
      <c r="I309" s="6">
        <v>45632</v>
      </c>
      <c r="J309" s="13">
        <v>0.46997685185185184</v>
      </c>
    </row>
    <row r="310" spans="1:10" x14ac:dyDescent="0.35">
      <c r="A310" s="27">
        <v>2593518</v>
      </c>
      <c r="B310" t="s">
        <v>449</v>
      </c>
      <c r="C310" t="s">
        <v>1229</v>
      </c>
      <c r="D310" t="s">
        <v>1230</v>
      </c>
      <c r="E310" t="s">
        <v>1225</v>
      </c>
      <c r="F310" t="s">
        <v>1231</v>
      </c>
      <c r="G310" t="s">
        <v>337</v>
      </c>
      <c r="H310" t="s">
        <v>1232</v>
      </c>
      <c r="I310" s="6">
        <v>45632</v>
      </c>
      <c r="J310" s="13">
        <v>0.37157407407407406</v>
      </c>
    </row>
    <row r="311" spans="1:10" x14ac:dyDescent="0.35">
      <c r="A311" s="27">
        <v>2627244</v>
      </c>
      <c r="B311" t="s">
        <v>454</v>
      </c>
      <c r="C311" t="s">
        <v>786</v>
      </c>
      <c r="D311" t="s">
        <v>456</v>
      </c>
      <c r="E311" t="s">
        <v>1225</v>
      </c>
      <c r="F311" t="s">
        <v>787</v>
      </c>
      <c r="G311" t="s">
        <v>107</v>
      </c>
      <c r="H311" t="s">
        <v>1233</v>
      </c>
      <c r="I311" s="6">
        <v>45632</v>
      </c>
      <c r="J311" s="13">
        <v>0.47012731481481479</v>
      </c>
    </row>
    <row r="312" spans="1:10" x14ac:dyDescent="0.35">
      <c r="A312" s="27">
        <v>2720054</v>
      </c>
      <c r="B312" t="s">
        <v>449</v>
      </c>
      <c r="C312" t="s">
        <v>786</v>
      </c>
      <c r="D312" t="s">
        <v>366</v>
      </c>
      <c r="E312" t="s">
        <v>1225</v>
      </c>
      <c r="F312" t="s">
        <v>1234</v>
      </c>
      <c r="G312" t="s">
        <v>126</v>
      </c>
      <c r="H312" t="s">
        <v>1235</v>
      </c>
      <c r="I312" s="6">
        <v>45632</v>
      </c>
      <c r="J312" s="13">
        <v>0.47010416666666666</v>
      </c>
    </row>
    <row r="313" spans="1:10" x14ac:dyDescent="0.35">
      <c r="A313" s="27">
        <v>2823836</v>
      </c>
      <c r="B313" t="s">
        <v>449</v>
      </c>
      <c r="C313" t="s">
        <v>786</v>
      </c>
      <c r="D313" t="s">
        <v>366</v>
      </c>
      <c r="E313" t="s">
        <v>1225</v>
      </c>
      <c r="F313" t="s">
        <v>1234</v>
      </c>
      <c r="G313" t="s">
        <v>679</v>
      </c>
      <c r="H313" t="s">
        <v>1236</v>
      </c>
      <c r="I313" s="6">
        <v>45632</v>
      </c>
      <c r="J313" s="13">
        <v>0.43234953703703705</v>
      </c>
    </row>
    <row r="314" spans="1:10" x14ac:dyDescent="0.35">
      <c r="A314" s="27">
        <v>2852621</v>
      </c>
      <c r="B314" t="s">
        <v>449</v>
      </c>
      <c r="C314" t="s">
        <v>786</v>
      </c>
      <c r="D314" t="s">
        <v>366</v>
      </c>
      <c r="E314" t="s">
        <v>1225</v>
      </c>
      <c r="F314" t="s">
        <v>1234</v>
      </c>
      <c r="G314" t="s">
        <v>90</v>
      </c>
      <c r="H314" t="s">
        <v>1237</v>
      </c>
      <c r="I314" s="6">
        <v>45632</v>
      </c>
      <c r="J314" s="13">
        <v>0.40052083333333333</v>
      </c>
    </row>
    <row r="315" spans="1:10" x14ac:dyDescent="0.35">
      <c r="A315" s="27">
        <v>2853460</v>
      </c>
      <c r="B315" t="s">
        <v>449</v>
      </c>
      <c r="C315" t="s">
        <v>1238</v>
      </c>
      <c r="D315" t="s">
        <v>1230</v>
      </c>
      <c r="E315" t="s">
        <v>1225</v>
      </c>
      <c r="F315" t="s">
        <v>1239</v>
      </c>
      <c r="G315" t="s">
        <v>90</v>
      </c>
      <c r="H315" t="s">
        <v>1240</v>
      </c>
      <c r="I315" s="6">
        <v>45632</v>
      </c>
      <c r="J315" s="13">
        <v>0.43306712962962962</v>
      </c>
    </row>
    <row r="316" spans="1:10" x14ac:dyDescent="0.35">
      <c r="A316" s="27">
        <v>2853780</v>
      </c>
      <c r="B316" t="s">
        <v>449</v>
      </c>
      <c r="C316" t="s">
        <v>786</v>
      </c>
      <c r="D316" t="s">
        <v>1230</v>
      </c>
      <c r="E316" t="s">
        <v>1225</v>
      </c>
      <c r="F316" t="s">
        <v>1241</v>
      </c>
      <c r="G316" t="s">
        <v>90</v>
      </c>
      <c r="H316" t="s">
        <v>1242</v>
      </c>
      <c r="I316" s="6">
        <v>45632</v>
      </c>
      <c r="J316" s="13">
        <v>0.48358796296296297</v>
      </c>
    </row>
    <row r="317" spans="1:10" x14ac:dyDescent="0.35">
      <c r="A317" s="27">
        <v>2855941</v>
      </c>
      <c r="B317" t="s">
        <v>454</v>
      </c>
      <c r="C317" t="s">
        <v>784</v>
      </c>
      <c r="D317" t="s">
        <v>456</v>
      </c>
      <c r="E317" t="s">
        <v>1225</v>
      </c>
      <c r="F317" t="s">
        <v>1243</v>
      </c>
      <c r="G317" t="s">
        <v>1244</v>
      </c>
      <c r="H317" t="s">
        <v>1245</v>
      </c>
      <c r="I317" s="6">
        <v>45632</v>
      </c>
      <c r="J317" s="13">
        <v>0.45226851851851851</v>
      </c>
    </row>
    <row r="318" spans="1:10" x14ac:dyDescent="0.35">
      <c r="A318" s="27">
        <v>2856616</v>
      </c>
      <c r="B318" t="s">
        <v>454</v>
      </c>
      <c r="C318" t="s">
        <v>784</v>
      </c>
      <c r="D318" t="s">
        <v>456</v>
      </c>
      <c r="E318" t="s">
        <v>1225</v>
      </c>
      <c r="F318" t="s">
        <v>788</v>
      </c>
      <c r="G318" t="s">
        <v>99</v>
      </c>
      <c r="H318" t="s">
        <v>1246</v>
      </c>
      <c r="I318" s="6">
        <v>45632</v>
      </c>
      <c r="J318" s="13">
        <v>0.42814814814814817</v>
      </c>
    </row>
    <row r="319" spans="1:10" x14ac:dyDescent="0.35">
      <c r="A319" s="27">
        <v>2857589</v>
      </c>
      <c r="B319" t="s">
        <v>449</v>
      </c>
      <c r="C319" t="s">
        <v>463</v>
      </c>
      <c r="D319" t="s">
        <v>1230</v>
      </c>
      <c r="E319" t="s">
        <v>1225</v>
      </c>
      <c r="F319" t="s">
        <v>1239</v>
      </c>
      <c r="G319" t="s">
        <v>99</v>
      </c>
      <c r="H319" t="s">
        <v>1247</v>
      </c>
      <c r="I319" s="6">
        <v>45632</v>
      </c>
      <c r="J319" s="13">
        <v>0.5</v>
      </c>
    </row>
    <row r="320" spans="1:10" x14ac:dyDescent="0.35">
      <c r="A320" s="27">
        <v>2859811</v>
      </c>
      <c r="B320" t="s">
        <v>445</v>
      </c>
      <c r="C320" t="s">
        <v>789</v>
      </c>
      <c r="D320" t="s">
        <v>447</v>
      </c>
      <c r="E320" t="s">
        <v>1225</v>
      </c>
      <c r="F320" t="s">
        <v>790</v>
      </c>
      <c r="G320" t="s">
        <v>114</v>
      </c>
      <c r="H320" t="s">
        <v>1248</v>
      </c>
      <c r="I320" s="6">
        <v>45632</v>
      </c>
      <c r="J320" s="13">
        <v>0.39542824074074073</v>
      </c>
    </row>
    <row r="321" spans="1:10" x14ac:dyDescent="0.35">
      <c r="A321" s="27">
        <v>2859823</v>
      </c>
      <c r="B321" t="s">
        <v>445</v>
      </c>
      <c r="C321" t="s">
        <v>789</v>
      </c>
      <c r="D321" t="s">
        <v>447</v>
      </c>
      <c r="E321" t="s">
        <v>1225</v>
      </c>
      <c r="F321" t="s">
        <v>790</v>
      </c>
      <c r="G321" t="s">
        <v>114</v>
      </c>
      <c r="H321" t="s">
        <v>1249</v>
      </c>
      <c r="I321" s="6">
        <v>45632</v>
      </c>
      <c r="J321" s="13">
        <v>0.42273148148148149</v>
      </c>
    </row>
    <row r="322" spans="1:10" x14ac:dyDescent="0.35">
      <c r="A322" s="27">
        <v>2873438</v>
      </c>
      <c r="B322" t="s">
        <v>445</v>
      </c>
      <c r="C322" t="s">
        <v>455</v>
      </c>
      <c r="D322" t="s">
        <v>792</v>
      </c>
      <c r="E322" t="s">
        <v>1225</v>
      </c>
      <c r="F322" t="s">
        <v>1250</v>
      </c>
      <c r="G322" t="s">
        <v>139</v>
      </c>
      <c r="H322" t="s">
        <v>1251</v>
      </c>
      <c r="I322" s="6">
        <v>45632</v>
      </c>
      <c r="J322" s="13">
        <v>0.46604166666666669</v>
      </c>
    </row>
    <row r="323" spans="1:10" x14ac:dyDescent="0.35">
      <c r="A323" s="27">
        <v>2876012</v>
      </c>
      <c r="B323" t="s">
        <v>445</v>
      </c>
      <c r="C323" t="s">
        <v>1252</v>
      </c>
      <c r="D323" t="s">
        <v>447</v>
      </c>
      <c r="E323" t="s">
        <v>1225</v>
      </c>
      <c r="F323" t="s">
        <v>1253</v>
      </c>
      <c r="G323" t="s">
        <v>139</v>
      </c>
      <c r="H323" t="s">
        <v>1254</v>
      </c>
      <c r="I323" s="6">
        <v>45632</v>
      </c>
      <c r="J323" s="13">
        <v>0.42386574074074074</v>
      </c>
    </row>
    <row r="324" spans="1:10" x14ac:dyDescent="0.35">
      <c r="A324" s="27">
        <v>2877207</v>
      </c>
      <c r="B324" t="s">
        <v>445</v>
      </c>
      <c r="C324" t="s">
        <v>791</v>
      </c>
      <c r="D324" t="s">
        <v>792</v>
      </c>
      <c r="E324" t="s">
        <v>1225</v>
      </c>
      <c r="F324" t="s">
        <v>793</v>
      </c>
      <c r="G324" t="s">
        <v>129</v>
      </c>
      <c r="H324" t="s">
        <v>1255</v>
      </c>
      <c r="I324" s="6">
        <v>45632</v>
      </c>
      <c r="J324" s="13">
        <v>0.5</v>
      </c>
    </row>
    <row r="325" spans="1:10" x14ac:dyDescent="0.35">
      <c r="A325" s="27">
        <v>2877304</v>
      </c>
      <c r="B325" t="s">
        <v>445</v>
      </c>
      <c r="C325" t="s">
        <v>791</v>
      </c>
      <c r="D325" t="s">
        <v>792</v>
      </c>
      <c r="E325" t="s">
        <v>1225</v>
      </c>
      <c r="F325" t="s">
        <v>793</v>
      </c>
      <c r="G325" t="s">
        <v>129</v>
      </c>
      <c r="H325" t="s">
        <v>1255</v>
      </c>
      <c r="I325" s="6">
        <v>45632</v>
      </c>
      <c r="J325" s="13">
        <v>0.5</v>
      </c>
    </row>
    <row r="326" spans="1:10" x14ac:dyDescent="0.35">
      <c r="A326" s="27">
        <v>2878149</v>
      </c>
      <c r="B326" t="s">
        <v>445</v>
      </c>
      <c r="C326" t="s">
        <v>446</v>
      </c>
      <c r="D326" t="s">
        <v>447</v>
      </c>
      <c r="E326" t="s">
        <v>1225</v>
      </c>
      <c r="F326" t="s">
        <v>448</v>
      </c>
      <c r="G326" t="s">
        <v>129</v>
      </c>
      <c r="H326" t="s">
        <v>1256</v>
      </c>
      <c r="I326" s="6">
        <v>45632</v>
      </c>
      <c r="J326" s="13">
        <v>0.5</v>
      </c>
    </row>
    <row r="327" spans="1:10" x14ac:dyDescent="0.35">
      <c r="A327" s="27">
        <v>2880752</v>
      </c>
      <c r="B327" t="s">
        <v>445</v>
      </c>
      <c r="C327" t="s">
        <v>536</v>
      </c>
      <c r="D327" t="s">
        <v>447</v>
      </c>
      <c r="E327" t="s">
        <v>1225</v>
      </c>
      <c r="F327" t="s">
        <v>537</v>
      </c>
      <c r="G327" t="s">
        <v>116</v>
      </c>
      <c r="H327" t="s">
        <v>1257</v>
      </c>
      <c r="I327" s="6">
        <v>45632</v>
      </c>
      <c r="J327" s="13">
        <v>0.5</v>
      </c>
    </row>
    <row r="328" spans="1:10" x14ac:dyDescent="0.35">
      <c r="A328" s="27">
        <v>2881058</v>
      </c>
      <c r="B328" t="s">
        <v>454</v>
      </c>
      <c r="C328" t="s">
        <v>796</v>
      </c>
      <c r="D328" t="s">
        <v>456</v>
      </c>
      <c r="E328" t="s">
        <v>1225</v>
      </c>
      <c r="F328" t="s">
        <v>1258</v>
      </c>
      <c r="G328" t="s">
        <v>116</v>
      </c>
      <c r="H328" t="s">
        <v>1259</v>
      </c>
      <c r="I328" s="6">
        <v>45632</v>
      </c>
      <c r="J328" s="13">
        <v>0.5</v>
      </c>
    </row>
    <row r="329" spans="1:10" x14ac:dyDescent="0.35">
      <c r="A329" s="27">
        <v>2881494</v>
      </c>
      <c r="B329" t="s">
        <v>449</v>
      </c>
      <c r="C329" t="s">
        <v>451</v>
      </c>
      <c r="D329" t="s">
        <v>1260</v>
      </c>
      <c r="E329" t="s">
        <v>1225</v>
      </c>
      <c r="F329" t="s">
        <v>1261</v>
      </c>
      <c r="G329" t="s">
        <v>116</v>
      </c>
      <c r="H329" t="s">
        <v>1262</v>
      </c>
      <c r="I329" s="6">
        <v>45632</v>
      </c>
      <c r="J329" s="13">
        <v>0.5</v>
      </c>
    </row>
    <row r="330" spans="1:10" x14ac:dyDescent="0.35">
      <c r="A330" s="27">
        <v>2881536</v>
      </c>
      <c r="B330" t="s">
        <v>449</v>
      </c>
      <c r="C330" t="s">
        <v>451</v>
      </c>
      <c r="D330" t="s">
        <v>366</v>
      </c>
      <c r="E330" t="s">
        <v>1225</v>
      </c>
      <c r="F330" t="s">
        <v>794</v>
      </c>
      <c r="G330" t="s">
        <v>116</v>
      </c>
      <c r="H330" t="s">
        <v>1263</v>
      </c>
      <c r="I330" s="6">
        <v>45632</v>
      </c>
      <c r="J330" s="13">
        <v>0.5</v>
      </c>
    </row>
    <row r="331" spans="1:10" x14ac:dyDescent="0.35">
      <c r="A331" s="27">
        <v>2884549</v>
      </c>
      <c r="B331" t="s">
        <v>449</v>
      </c>
      <c r="C331" t="s">
        <v>451</v>
      </c>
      <c r="D331" t="s">
        <v>366</v>
      </c>
      <c r="E331" t="s">
        <v>1225</v>
      </c>
      <c r="F331" t="s">
        <v>794</v>
      </c>
      <c r="G331" t="s">
        <v>78</v>
      </c>
      <c r="H331" t="s">
        <v>1264</v>
      </c>
      <c r="I331" s="6">
        <v>45632</v>
      </c>
      <c r="J331" s="13">
        <v>0.5</v>
      </c>
    </row>
    <row r="332" spans="1:10" x14ac:dyDescent="0.35">
      <c r="A332" s="27">
        <v>2884652</v>
      </c>
      <c r="B332" t="s">
        <v>449</v>
      </c>
      <c r="C332" t="s">
        <v>451</v>
      </c>
      <c r="D332" t="s">
        <v>366</v>
      </c>
      <c r="E332" t="s">
        <v>1225</v>
      </c>
      <c r="F332" t="s">
        <v>794</v>
      </c>
      <c r="G332" t="s">
        <v>78</v>
      </c>
      <c r="H332" t="s">
        <v>1265</v>
      </c>
      <c r="I332" s="6">
        <v>45632</v>
      </c>
      <c r="J332" s="13">
        <v>0.5</v>
      </c>
    </row>
    <row r="333" spans="1:10" x14ac:dyDescent="0.35">
      <c r="A333" s="27">
        <v>2884712</v>
      </c>
      <c r="B333" t="s">
        <v>449</v>
      </c>
      <c r="C333" t="s">
        <v>451</v>
      </c>
      <c r="D333" t="s">
        <v>366</v>
      </c>
      <c r="E333" t="s">
        <v>1225</v>
      </c>
      <c r="F333" t="s">
        <v>794</v>
      </c>
      <c r="G333" t="s">
        <v>78</v>
      </c>
      <c r="H333" t="s">
        <v>1266</v>
      </c>
      <c r="I333" s="6">
        <v>45632</v>
      </c>
      <c r="J333" s="13">
        <v>0.5</v>
      </c>
    </row>
    <row r="334" spans="1:10" x14ac:dyDescent="0.35">
      <c r="A334" s="27">
        <v>2884865</v>
      </c>
      <c r="B334" t="s">
        <v>449</v>
      </c>
      <c r="C334" t="s">
        <v>451</v>
      </c>
      <c r="D334" t="s">
        <v>366</v>
      </c>
      <c r="E334" t="s">
        <v>1225</v>
      </c>
      <c r="F334" t="s">
        <v>794</v>
      </c>
      <c r="G334" t="s">
        <v>78</v>
      </c>
      <c r="H334" t="s">
        <v>1267</v>
      </c>
      <c r="I334" s="2" t="s">
        <v>464</v>
      </c>
      <c r="J334" s="13" t="s">
        <v>465</v>
      </c>
    </row>
    <row r="335" spans="1:10" x14ac:dyDescent="0.35">
      <c r="A335" s="27">
        <v>2888250</v>
      </c>
      <c r="B335" t="s">
        <v>445</v>
      </c>
      <c r="C335" t="s">
        <v>452</v>
      </c>
      <c r="D335" t="s">
        <v>447</v>
      </c>
      <c r="E335" t="s">
        <v>1225</v>
      </c>
      <c r="F335" t="s">
        <v>453</v>
      </c>
      <c r="G335" t="s">
        <v>124</v>
      </c>
      <c r="H335" t="s">
        <v>1268</v>
      </c>
      <c r="I335" s="6">
        <v>45602</v>
      </c>
      <c r="J335" s="13">
        <v>0.74799768518518517</v>
      </c>
    </row>
    <row r="336" spans="1:10" x14ac:dyDescent="0.35">
      <c r="A336" s="27">
        <v>2889551</v>
      </c>
      <c r="B336" t="s">
        <v>454</v>
      </c>
      <c r="C336" t="s">
        <v>796</v>
      </c>
      <c r="D336" t="s">
        <v>456</v>
      </c>
      <c r="E336" t="s">
        <v>1225</v>
      </c>
      <c r="F336" t="s">
        <v>797</v>
      </c>
      <c r="G336" t="s">
        <v>124</v>
      </c>
      <c r="H336" t="s">
        <v>1246</v>
      </c>
      <c r="I336" s="6">
        <v>45602</v>
      </c>
      <c r="J336" s="13">
        <v>0.75</v>
      </c>
    </row>
    <row r="337" spans="1:10" x14ac:dyDescent="0.35">
      <c r="A337" s="27">
        <v>2891359</v>
      </c>
      <c r="B337" t="s">
        <v>454</v>
      </c>
      <c r="C337" t="s">
        <v>463</v>
      </c>
      <c r="D337" t="s">
        <v>456</v>
      </c>
      <c r="E337" t="s">
        <v>1225</v>
      </c>
      <c r="F337" t="s">
        <v>798</v>
      </c>
      <c r="G337" t="s">
        <v>74</v>
      </c>
      <c r="H337" t="s">
        <v>1269</v>
      </c>
      <c r="I337" s="2" t="s">
        <v>464</v>
      </c>
      <c r="J337" s="13" t="s">
        <v>465</v>
      </c>
    </row>
    <row r="338" spans="1:10" x14ac:dyDescent="0.35">
      <c r="A338" s="27">
        <v>2891690</v>
      </c>
      <c r="B338" t="s">
        <v>454</v>
      </c>
      <c r="C338" t="s">
        <v>463</v>
      </c>
      <c r="D338" t="s">
        <v>456</v>
      </c>
      <c r="E338" t="s">
        <v>1225</v>
      </c>
      <c r="F338" t="s">
        <v>798</v>
      </c>
      <c r="G338" t="s">
        <v>74</v>
      </c>
      <c r="H338" t="s">
        <v>1270</v>
      </c>
      <c r="I338" s="2" t="s">
        <v>464</v>
      </c>
      <c r="J338" s="13" t="s">
        <v>465</v>
      </c>
    </row>
    <row r="339" spans="1:10" x14ac:dyDescent="0.35">
      <c r="A339" s="27">
        <v>2892468</v>
      </c>
      <c r="B339" t="s">
        <v>454</v>
      </c>
      <c r="C339" t="s">
        <v>458</v>
      </c>
      <c r="D339" t="s">
        <v>456</v>
      </c>
      <c r="E339" t="s">
        <v>1225</v>
      </c>
      <c r="F339" t="s">
        <v>1271</v>
      </c>
      <c r="G339" t="s">
        <v>74</v>
      </c>
      <c r="H339" t="s">
        <v>1272</v>
      </c>
      <c r="I339" s="2" t="s">
        <v>464</v>
      </c>
      <c r="J339" s="13" t="s">
        <v>465</v>
      </c>
    </row>
    <row r="340" spans="1:10" x14ac:dyDescent="0.35">
      <c r="A340" s="27">
        <v>2893209</v>
      </c>
      <c r="B340" t="s">
        <v>449</v>
      </c>
      <c r="C340" t="s">
        <v>1273</v>
      </c>
      <c r="D340" t="s">
        <v>366</v>
      </c>
      <c r="E340" t="s">
        <v>1225</v>
      </c>
      <c r="F340" t="s">
        <v>808</v>
      </c>
      <c r="G340" t="s">
        <v>127</v>
      </c>
      <c r="H340" t="s">
        <v>1274</v>
      </c>
      <c r="I340" s="2" t="s">
        <v>464</v>
      </c>
      <c r="J340" s="13" t="s">
        <v>465</v>
      </c>
    </row>
    <row r="341" spans="1:10" x14ac:dyDescent="0.35">
      <c r="A341" s="27">
        <v>2893214</v>
      </c>
      <c r="B341" t="s">
        <v>449</v>
      </c>
      <c r="C341" t="s">
        <v>1273</v>
      </c>
      <c r="D341" t="s">
        <v>366</v>
      </c>
      <c r="E341" t="s">
        <v>1225</v>
      </c>
      <c r="F341" t="s">
        <v>808</v>
      </c>
      <c r="G341" t="s">
        <v>127</v>
      </c>
      <c r="H341" t="s">
        <v>1275</v>
      </c>
      <c r="I341" s="2" t="s">
        <v>464</v>
      </c>
      <c r="J341" s="13" t="s">
        <v>465</v>
      </c>
    </row>
    <row r="342" spans="1:10" x14ac:dyDescent="0.35">
      <c r="A342" s="27">
        <v>2893634</v>
      </c>
      <c r="B342" t="s">
        <v>445</v>
      </c>
      <c r="C342" t="s">
        <v>331</v>
      </c>
      <c r="D342" t="s">
        <v>447</v>
      </c>
      <c r="E342" t="s">
        <v>1225</v>
      </c>
      <c r="F342" t="s">
        <v>1276</v>
      </c>
      <c r="G342" t="s">
        <v>127</v>
      </c>
      <c r="H342" t="s">
        <v>1277</v>
      </c>
      <c r="I342" s="2" t="s">
        <v>464</v>
      </c>
      <c r="J342" s="13" t="s">
        <v>465</v>
      </c>
    </row>
    <row r="343" spans="1:10" x14ac:dyDescent="0.35">
      <c r="A343" s="27">
        <v>2893671</v>
      </c>
      <c r="B343" t="s">
        <v>445</v>
      </c>
      <c r="C343" t="s">
        <v>1278</v>
      </c>
      <c r="D343" t="s">
        <v>447</v>
      </c>
      <c r="E343" t="s">
        <v>1225</v>
      </c>
      <c r="F343" t="s">
        <v>1279</v>
      </c>
      <c r="G343" t="s">
        <v>127</v>
      </c>
      <c r="H343" t="s">
        <v>1280</v>
      </c>
      <c r="I343" s="2" t="s">
        <v>464</v>
      </c>
      <c r="J343" s="13" t="s">
        <v>465</v>
      </c>
    </row>
    <row r="344" spans="1:10" x14ac:dyDescent="0.35">
      <c r="A344" s="27">
        <v>2893797</v>
      </c>
      <c r="B344" t="s">
        <v>445</v>
      </c>
      <c r="C344" t="s">
        <v>1281</v>
      </c>
      <c r="D344" t="s">
        <v>447</v>
      </c>
      <c r="E344" t="s">
        <v>1225</v>
      </c>
      <c r="F344" t="s">
        <v>1282</v>
      </c>
      <c r="G344" t="s">
        <v>127</v>
      </c>
      <c r="H344" t="s">
        <v>1283</v>
      </c>
      <c r="I344" s="2" t="s">
        <v>464</v>
      </c>
      <c r="J344" s="13" t="s">
        <v>465</v>
      </c>
    </row>
    <row r="345" spans="1:10" x14ac:dyDescent="0.35">
      <c r="A345" s="27">
        <v>2893803</v>
      </c>
      <c r="B345" t="s">
        <v>445</v>
      </c>
      <c r="C345" t="s">
        <v>331</v>
      </c>
      <c r="D345" t="s">
        <v>447</v>
      </c>
      <c r="E345" t="s">
        <v>1225</v>
      </c>
      <c r="F345" t="s">
        <v>1276</v>
      </c>
      <c r="G345" t="s">
        <v>127</v>
      </c>
      <c r="H345" t="s">
        <v>1284</v>
      </c>
      <c r="I345" s="2" t="s">
        <v>464</v>
      </c>
      <c r="J345" s="13" t="s">
        <v>465</v>
      </c>
    </row>
    <row r="346" spans="1:10" x14ac:dyDescent="0.35">
      <c r="A346" s="27">
        <v>2893864</v>
      </c>
      <c r="B346" t="s">
        <v>445</v>
      </c>
      <c r="C346" t="s">
        <v>331</v>
      </c>
      <c r="D346" t="s">
        <v>447</v>
      </c>
      <c r="E346" t="s">
        <v>1225</v>
      </c>
      <c r="F346" t="s">
        <v>1276</v>
      </c>
      <c r="G346" t="s">
        <v>127</v>
      </c>
      <c r="H346" t="s">
        <v>1285</v>
      </c>
      <c r="I346" s="2" t="s">
        <v>464</v>
      </c>
      <c r="J346" s="13" t="s">
        <v>465</v>
      </c>
    </row>
    <row r="347" spans="1:10" x14ac:dyDescent="0.35">
      <c r="A347" s="27">
        <v>2893920</v>
      </c>
      <c r="B347" t="s">
        <v>445</v>
      </c>
      <c r="C347" t="s">
        <v>331</v>
      </c>
      <c r="D347" t="s">
        <v>447</v>
      </c>
      <c r="E347" t="s">
        <v>1225</v>
      </c>
      <c r="F347" t="s">
        <v>1276</v>
      </c>
      <c r="G347" t="s">
        <v>127</v>
      </c>
      <c r="H347" t="s">
        <v>1286</v>
      </c>
      <c r="I347" s="2" t="s">
        <v>464</v>
      </c>
      <c r="J347" s="13" t="s">
        <v>465</v>
      </c>
    </row>
    <row r="348" spans="1:10" x14ac:dyDescent="0.35">
      <c r="A348" s="27">
        <v>2893956</v>
      </c>
      <c r="B348" t="s">
        <v>445</v>
      </c>
      <c r="C348" t="s">
        <v>331</v>
      </c>
      <c r="D348" t="s">
        <v>447</v>
      </c>
      <c r="E348" t="s">
        <v>1225</v>
      </c>
      <c r="F348" t="s">
        <v>1276</v>
      </c>
      <c r="G348" t="s">
        <v>127</v>
      </c>
      <c r="H348" t="s">
        <v>1008</v>
      </c>
      <c r="I348" s="2" t="s">
        <v>464</v>
      </c>
      <c r="J348" s="13" t="s">
        <v>465</v>
      </c>
    </row>
    <row r="349" spans="1:10" x14ac:dyDescent="0.35">
      <c r="A349" s="27">
        <v>2893975</v>
      </c>
      <c r="B349" t="s">
        <v>445</v>
      </c>
      <c r="C349" t="s">
        <v>463</v>
      </c>
      <c r="D349" t="s">
        <v>447</v>
      </c>
      <c r="E349" t="s">
        <v>1225</v>
      </c>
      <c r="F349" t="s">
        <v>1287</v>
      </c>
      <c r="G349" t="s">
        <v>127</v>
      </c>
      <c r="H349" t="s">
        <v>1008</v>
      </c>
      <c r="I349" s="6">
        <v>45571</v>
      </c>
      <c r="J349" s="13">
        <v>0.73128472222222218</v>
      </c>
    </row>
    <row r="350" spans="1:10" x14ac:dyDescent="0.35">
      <c r="A350" s="27">
        <v>2894025</v>
      </c>
      <c r="B350" t="s">
        <v>445</v>
      </c>
      <c r="C350" t="s">
        <v>331</v>
      </c>
      <c r="D350" t="s">
        <v>447</v>
      </c>
      <c r="E350" t="s">
        <v>1225</v>
      </c>
      <c r="F350" t="s">
        <v>1276</v>
      </c>
      <c r="G350" t="s">
        <v>127</v>
      </c>
      <c r="H350" t="s">
        <v>1008</v>
      </c>
      <c r="I350" s="6">
        <v>45632</v>
      </c>
      <c r="J350" s="13">
        <v>0.3429976851851852</v>
      </c>
    </row>
    <row r="351" spans="1:10" x14ac:dyDescent="0.35">
      <c r="A351" s="27">
        <v>2894085</v>
      </c>
      <c r="B351" t="s">
        <v>445</v>
      </c>
      <c r="C351" t="s">
        <v>1288</v>
      </c>
      <c r="D351" t="s">
        <v>447</v>
      </c>
      <c r="E351" t="s">
        <v>1225</v>
      </c>
      <c r="F351" t="s">
        <v>1289</v>
      </c>
      <c r="G351" t="s">
        <v>127</v>
      </c>
      <c r="H351" t="s">
        <v>1008</v>
      </c>
      <c r="I351" s="2" t="s">
        <v>464</v>
      </c>
      <c r="J351" s="13" t="s">
        <v>465</v>
      </c>
    </row>
    <row r="352" spans="1:10" x14ac:dyDescent="0.35">
      <c r="A352" s="27">
        <v>2894091</v>
      </c>
      <c r="B352" t="s">
        <v>445</v>
      </c>
      <c r="C352" t="s">
        <v>331</v>
      </c>
      <c r="D352" t="s">
        <v>447</v>
      </c>
      <c r="E352" t="s">
        <v>1225</v>
      </c>
      <c r="F352" t="s">
        <v>1276</v>
      </c>
      <c r="G352" t="s">
        <v>127</v>
      </c>
      <c r="H352" t="s">
        <v>1008</v>
      </c>
      <c r="I352" s="6">
        <v>45571</v>
      </c>
      <c r="J352" s="13">
        <v>0.75</v>
      </c>
    </row>
    <row r="353" spans="1:10" x14ac:dyDescent="0.35">
      <c r="A353" s="27">
        <v>2894095</v>
      </c>
      <c r="B353" t="s">
        <v>445</v>
      </c>
      <c r="C353" t="s">
        <v>1288</v>
      </c>
      <c r="D353" t="s">
        <v>447</v>
      </c>
      <c r="E353" t="s">
        <v>1225</v>
      </c>
      <c r="F353" t="s">
        <v>1289</v>
      </c>
      <c r="G353" t="s">
        <v>127</v>
      </c>
      <c r="H353" t="s">
        <v>1008</v>
      </c>
      <c r="I353" s="6">
        <v>45602</v>
      </c>
      <c r="J353" s="13">
        <v>0.72077546296296291</v>
      </c>
    </row>
    <row r="354" spans="1:10" x14ac:dyDescent="0.35">
      <c r="A354" s="27">
        <v>2894111</v>
      </c>
      <c r="B354" t="s">
        <v>445</v>
      </c>
      <c r="C354" t="s">
        <v>331</v>
      </c>
      <c r="D354" t="s">
        <v>447</v>
      </c>
      <c r="E354" t="s">
        <v>1225</v>
      </c>
      <c r="F354" t="s">
        <v>1276</v>
      </c>
      <c r="G354" t="s">
        <v>127</v>
      </c>
      <c r="H354" t="s">
        <v>1008</v>
      </c>
      <c r="I354" s="6">
        <v>45602</v>
      </c>
      <c r="J354" s="13">
        <v>0.36531249999999998</v>
      </c>
    </row>
    <row r="355" spans="1:10" x14ac:dyDescent="0.35">
      <c r="A355" s="27">
        <v>2894118</v>
      </c>
      <c r="B355" t="s">
        <v>445</v>
      </c>
      <c r="C355" t="s">
        <v>1288</v>
      </c>
      <c r="D355" t="s">
        <v>447</v>
      </c>
      <c r="E355" t="s">
        <v>1225</v>
      </c>
      <c r="F355" t="s">
        <v>1289</v>
      </c>
      <c r="G355" t="s">
        <v>127</v>
      </c>
      <c r="H355" t="s">
        <v>1290</v>
      </c>
      <c r="I355" s="6">
        <v>45571</v>
      </c>
      <c r="J355" s="13">
        <v>0.4811111111111111</v>
      </c>
    </row>
    <row r="356" spans="1:10" x14ac:dyDescent="0.35">
      <c r="A356" s="27">
        <v>2894129</v>
      </c>
      <c r="B356" t="s">
        <v>445</v>
      </c>
      <c r="C356" t="s">
        <v>331</v>
      </c>
      <c r="D356" t="s">
        <v>447</v>
      </c>
      <c r="E356" t="s">
        <v>1225</v>
      </c>
      <c r="F356" t="s">
        <v>1276</v>
      </c>
      <c r="G356" t="s">
        <v>127</v>
      </c>
      <c r="H356" t="s">
        <v>1291</v>
      </c>
      <c r="I356" s="6">
        <v>45571</v>
      </c>
      <c r="J356" s="13">
        <v>0.4720138888888889</v>
      </c>
    </row>
    <row r="357" spans="1:10" x14ac:dyDescent="0.35">
      <c r="A357" s="27">
        <v>2894135</v>
      </c>
      <c r="B357" t="s">
        <v>445</v>
      </c>
      <c r="C357" t="s">
        <v>331</v>
      </c>
      <c r="D357" t="s">
        <v>447</v>
      </c>
      <c r="E357" t="s">
        <v>1225</v>
      </c>
      <c r="F357" t="s">
        <v>1276</v>
      </c>
      <c r="G357" t="s">
        <v>127</v>
      </c>
      <c r="H357" t="s">
        <v>1292</v>
      </c>
      <c r="I357" s="6">
        <v>45602</v>
      </c>
      <c r="J357" s="13">
        <v>0.42504629629629631</v>
      </c>
    </row>
    <row r="358" spans="1:10" x14ac:dyDescent="0.35">
      <c r="A358" s="27">
        <v>2894176</v>
      </c>
      <c r="B358" t="s">
        <v>445</v>
      </c>
      <c r="C358" t="s">
        <v>331</v>
      </c>
      <c r="D358" t="s">
        <v>447</v>
      </c>
      <c r="E358" t="s">
        <v>1225</v>
      </c>
      <c r="F358" t="s">
        <v>1276</v>
      </c>
      <c r="G358" t="s">
        <v>127</v>
      </c>
      <c r="H358" t="s">
        <v>1293</v>
      </c>
      <c r="I358" s="6">
        <v>45602</v>
      </c>
      <c r="J358" s="13">
        <v>0.49239583333333331</v>
      </c>
    </row>
    <row r="359" spans="1:10" x14ac:dyDescent="0.35">
      <c r="A359" s="27">
        <v>2894265</v>
      </c>
      <c r="B359" t="s">
        <v>445</v>
      </c>
      <c r="C359" t="s">
        <v>331</v>
      </c>
      <c r="D359" t="s">
        <v>447</v>
      </c>
      <c r="E359" t="s">
        <v>1225</v>
      </c>
      <c r="F359" t="s">
        <v>1276</v>
      </c>
      <c r="G359" t="s">
        <v>127</v>
      </c>
      <c r="H359" t="s">
        <v>1294</v>
      </c>
      <c r="I359" s="6">
        <v>45602</v>
      </c>
      <c r="J359" s="13">
        <v>0.70421296296296299</v>
      </c>
    </row>
    <row r="360" spans="1:10" x14ac:dyDescent="0.35">
      <c r="A360" s="27">
        <v>2894322</v>
      </c>
      <c r="B360" t="s">
        <v>445</v>
      </c>
      <c r="C360" t="s">
        <v>331</v>
      </c>
      <c r="D360" t="s">
        <v>447</v>
      </c>
      <c r="E360" t="s">
        <v>1225</v>
      </c>
      <c r="F360" t="s">
        <v>1276</v>
      </c>
      <c r="G360" t="s">
        <v>127</v>
      </c>
      <c r="H360" t="s">
        <v>1295</v>
      </c>
      <c r="I360" s="6">
        <v>45602</v>
      </c>
      <c r="J360" s="13">
        <v>0.70098379629629626</v>
      </c>
    </row>
    <row r="361" spans="1:10" x14ac:dyDescent="0.35">
      <c r="A361" s="27">
        <v>2894412</v>
      </c>
      <c r="B361" t="s">
        <v>445</v>
      </c>
      <c r="C361" t="s">
        <v>331</v>
      </c>
      <c r="D361" t="s">
        <v>447</v>
      </c>
      <c r="E361" t="s">
        <v>1225</v>
      </c>
      <c r="F361" t="s">
        <v>1276</v>
      </c>
      <c r="G361" t="s">
        <v>127</v>
      </c>
      <c r="H361" t="s">
        <v>1296</v>
      </c>
      <c r="I361" s="6">
        <v>45632</v>
      </c>
      <c r="J361" s="13">
        <v>0.61495370370370372</v>
      </c>
    </row>
    <row r="362" spans="1:10" x14ac:dyDescent="0.35">
      <c r="A362" s="27">
        <v>2894557</v>
      </c>
      <c r="B362" t="s">
        <v>445</v>
      </c>
      <c r="C362" t="s">
        <v>331</v>
      </c>
      <c r="D362" t="s">
        <v>447</v>
      </c>
      <c r="E362" t="s">
        <v>1225</v>
      </c>
      <c r="F362" t="s">
        <v>1276</v>
      </c>
      <c r="G362" t="s">
        <v>127</v>
      </c>
      <c r="H362" t="s">
        <v>1297</v>
      </c>
      <c r="I362" s="6">
        <v>45602</v>
      </c>
      <c r="J362" s="13">
        <v>0.72958333333333336</v>
      </c>
    </row>
    <row r="363" spans="1:10" x14ac:dyDescent="0.35">
      <c r="A363" s="27">
        <v>2895103</v>
      </c>
      <c r="B363" t="s">
        <v>984</v>
      </c>
      <c r="C363" t="s">
        <v>1298</v>
      </c>
      <c r="D363" t="s">
        <v>1299</v>
      </c>
      <c r="E363" t="s">
        <v>1225</v>
      </c>
      <c r="F363" t="s">
        <v>1300</v>
      </c>
      <c r="G363" t="s">
        <v>127</v>
      </c>
      <c r="H363" t="s">
        <v>1301</v>
      </c>
      <c r="I363" s="6">
        <v>45602</v>
      </c>
      <c r="J363" s="13">
        <v>0.69777777777777783</v>
      </c>
    </row>
    <row r="364" spans="1:10" x14ac:dyDescent="0.35">
      <c r="A364" s="27">
        <v>2895141</v>
      </c>
      <c r="B364" t="s">
        <v>454</v>
      </c>
      <c r="C364" t="s">
        <v>784</v>
      </c>
      <c r="D364" t="s">
        <v>456</v>
      </c>
      <c r="E364" t="s">
        <v>1225</v>
      </c>
      <c r="F364" t="s">
        <v>1302</v>
      </c>
      <c r="G364" t="s">
        <v>127</v>
      </c>
      <c r="H364" t="s">
        <v>1303</v>
      </c>
      <c r="I364" s="6">
        <v>45602</v>
      </c>
      <c r="J364" s="13">
        <v>0.70833333333333337</v>
      </c>
    </row>
    <row r="365" spans="1:10" x14ac:dyDescent="0.35">
      <c r="A365" s="27">
        <v>2895156</v>
      </c>
      <c r="B365" t="s">
        <v>449</v>
      </c>
      <c r="C365" t="s">
        <v>1304</v>
      </c>
      <c r="D365" t="s">
        <v>366</v>
      </c>
      <c r="E365" t="s">
        <v>1225</v>
      </c>
      <c r="F365" t="s">
        <v>808</v>
      </c>
      <c r="G365" t="s">
        <v>127</v>
      </c>
      <c r="H365" t="s">
        <v>1305</v>
      </c>
      <c r="I365" s="6">
        <v>45602</v>
      </c>
      <c r="J365" s="13">
        <v>0.70833333333333337</v>
      </c>
    </row>
    <row r="366" spans="1:10" x14ac:dyDescent="0.35">
      <c r="A366" s="27">
        <v>2895356</v>
      </c>
      <c r="B366" t="s">
        <v>445</v>
      </c>
      <c r="C366" t="s">
        <v>1252</v>
      </c>
      <c r="D366" t="s">
        <v>447</v>
      </c>
      <c r="E366" t="s">
        <v>1225</v>
      </c>
      <c r="F366" t="s">
        <v>1253</v>
      </c>
      <c r="G366" t="s">
        <v>127</v>
      </c>
      <c r="H366" t="s">
        <v>1306</v>
      </c>
      <c r="I366" s="6">
        <v>45632</v>
      </c>
      <c r="J366" s="13">
        <v>0.39968749999999997</v>
      </c>
    </row>
    <row r="367" spans="1:10" x14ac:dyDescent="0.35">
      <c r="A367" s="27">
        <v>2895953</v>
      </c>
      <c r="B367" t="s">
        <v>984</v>
      </c>
      <c r="C367" t="s">
        <v>1146</v>
      </c>
      <c r="D367" t="s">
        <v>1299</v>
      </c>
      <c r="E367" t="s">
        <v>1225</v>
      </c>
      <c r="F367" t="s">
        <v>1307</v>
      </c>
      <c r="G367" t="s">
        <v>141</v>
      </c>
      <c r="H367" t="s">
        <v>1308</v>
      </c>
      <c r="I367" s="2" t="s">
        <v>91</v>
      </c>
      <c r="J367" s="13">
        <v>0.67056712962962961</v>
      </c>
    </row>
    <row r="368" spans="1:10" x14ac:dyDescent="0.35">
      <c r="A368" s="27">
        <v>2896616</v>
      </c>
      <c r="B368" t="s">
        <v>449</v>
      </c>
      <c r="C368" t="s">
        <v>1309</v>
      </c>
      <c r="D368" t="s">
        <v>366</v>
      </c>
      <c r="E368" t="s">
        <v>1225</v>
      </c>
      <c r="F368" t="s">
        <v>1310</v>
      </c>
      <c r="G368" t="s">
        <v>141</v>
      </c>
      <c r="H368" t="s">
        <v>1311</v>
      </c>
      <c r="I368" s="6">
        <v>45355</v>
      </c>
      <c r="J368" s="13">
        <v>0.75</v>
      </c>
    </row>
    <row r="369" spans="1:10" x14ac:dyDescent="0.35">
      <c r="A369" s="27">
        <v>2896729</v>
      </c>
      <c r="B369" t="s">
        <v>445</v>
      </c>
      <c r="C369" t="s">
        <v>1312</v>
      </c>
      <c r="D369" t="s">
        <v>447</v>
      </c>
      <c r="E369" t="s">
        <v>1225</v>
      </c>
      <c r="F369" t="s">
        <v>1313</v>
      </c>
      <c r="G369" t="s">
        <v>141</v>
      </c>
      <c r="H369" t="s">
        <v>1314</v>
      </c>
      <c r="I369" s="2" t="s">
        <v>141</v>
      </c>
      <c r="J369" s="13">
        <v>0.57612268518518517</v>
      </c>
    </row>
    <row r="370" spans="1:10" x14ac:dyDescent="0.35">
      <c r="A370" s="27">
        <v>2896751</v>
      </c>
      <c r="B370" t="s">
        <v>445</v>
      </c>
      <c r="C370" t="s">
        <v>1312</v>
      </c>
      <c r="D370" t="s">
        <v>447</v>
      </c>
      <c r="E370" t="s">
        <v>1225</v>
      </c>
      <c r="F370" t="s">
        <v>1313</v>
      </c>
      <c r="G370" t="s">
        <v>141</v>
      </c>
      <c r="H370" t="s">
        <v>1315</v>
      </c>
      <c r="I370" s="6">
        <v>45632</v>
      </c>
      <c r="J370" s="13">
        <v>0.34023148148148147</v>
      </c>
    </row>
    <row r="371" spans="1:10" x14ac:dyDescent="0.35">
      <c r="A371" s="27">
        <v>2896758</v>
      </c>
      <c r="B371" t="s">
        <v>445</v>
      </c>
      <c r="C371" t="s">
        <v>1312</v>
      </c>
      <c r="D371" t="s">
        <v>447</v>
      </c>
      <c r="E371" t="s">
        <v>1225</v>
      </c>
      <c r="F371" t="s">
        <v>1313</v>
      </c>
      <c r="G371" t="s">
        <v>141</v>
      </c>
      <c r="H371" t="s">
        <v>1316</v>
      </c>
      <c r="I371" s="2" t="s">
        <v>67</v>
      </c>
      <c r="J371" s="13">
        <v>0.375</v>
      </c>
    </row>
    <row r="372" spans="1:10" x14ac:dyDescent="0.35">
      <c r="A372" s="27">
        <v>2896765</v>
      </c>
      <c r="B372" t="s">
        <v>445</v>
      </c>
      <c r="C372" t="s">
        <v>1312</v>
      </c>
      <c r="D372" t="s">
        <v>447</v>
      </c>
      <c r="E372" t="s">
        <v>1225</v>
      </c>
      <c r="F372" t="s">
        <v>1313</v>
      </c>
      <c r="G372" t="s">
        <v>141</v>
      </c>
      <c r="H372" t="s">
        <v>1317</v>
      </c>
      <c r="I372" s="2" t="s">
        <v>141</v>
      </c>
      <c r="J372" s="13">
        <v>0.62084490740740739</v>
      </c>
    </row>
    <row r="373" spans="1:10" x14ac:dyDescent="0.35">
      <c r="A373" s="27">
        <v>2896772</v>
      </c>
      <c r="B373" t="s">
        <v>445</v>
      </c>
      <c r="C373" t="s">
        <v>1312</v>
      </c>
      <c r="D373" t="s">
        <v>447</v>
      </c>
      <c r="E373" t="s">
        <v>1225</v>
      </c>
      <c r="F373" t="s">
        <v>1313</v>
      </c>
      <c r="G373" t="s">
        <v>141</v>
      </c>
      <c r="H373" t="s">
        <v>1318</v>
      </c>
      <c r="I373" s="2" t="s">
        <v>141</v>
      </c>
      <c r="J373" s="13">
        <v>0.61072916666666666</v>
      </c>
    </row>
    <row r="374" spans="1:10" x14ac:dyDescent="0.35">
      <c r="A374" s="27">
        <v>2897149</v>
      </c>
      <c r="B374" t="s">
        <v>449</v>
      </c>
      <c r="C374" t="s">
        <v>1273</v>
      </c>
      <c r="D374" t="s">
        <v>366</v>
      </c>
      <c r="E374" t="s">
        <v>1225</v>
      </c>
      <c r="F374" t="s">
        <v>1319</v>
      </c>
      <c r="G374" t="s">
        <v>141</v>
      </c>
      <c r="H374" t="s">
        <v>1320</v>
      </c>
      <c r="I374" s="6">
        <v>45632</v>
      </c>
      <c r="J374" s="13">
        <v>0.5</v>
      </c>
    </row>
    <row r="375" spans="1:10" x14ac:dyDescent="0.35">
      <c r="A375" s="27">
        <v>2897224</v>
      </c>
      <c r="B375" t="s">
        <v>445</v>
      </c>
      <c r="C375" t="s">
        <v>463</v>
      </c>
      <c r="D375" t="s">
        <v>447</v>
      </c>
      <c r="E375" t="s">
        <v>1225</v>
      </c>
      <c r="F375" t="s">
        <v>1287</v>
      </c>
      <c r="G375" t="s">
        <v>141</v>
      </c>
      <c r="H375" t="s">
        <v>1321</v>
      </c>
      <c r="I375" s="6">
        <v>45632</v>
      </c>
      <c r="J375" s="13">
        <v>0.5</v>
      </c>
    </row>
    <row r="376" spans="1:10" x14ac:dyDescent="0.35">
      <c r="A376" s="27">
        <v>2897250</v>
      </c>
      <c r="B376" t="s">
        <v>445</v>
      </c>
      <c r="C376" t="s">
        <v>463</v>
      </c>
      <c r="D376" t="s">
        <v>447</v>
      </c>
      <c r="E376" t="s">
        <v>1225</v>
      </c>
      <c r="F376" t="s">
        <v>1287</v>
      </c>
      <c r="G376" t="s">
        <v>141</v>
      </c>
      <c r="H376" t="s">
        <v>1322</v>
      </c>
      <c r="I376" s="2" t="s">
        <v>141</v>
      </c>
      <c r="J376" s="13">
        <v>0.39777777777777779</v>
      </c>
    </row>
    <row r="377" spans="1:10" x14ac:dyDescent="0.35">
      <c r="A377" s="27">
        <v>2897269</v>
      </c>
      <c r="B377" t="s">
        <v>445</v>
      </c>
      <c r="C377" t="s">
        <v>463</v>
      </c>
      <c r="D377" t="s">
        <v>447</v>
      </c>
      <c r="E377" t="s">
        <v>1225</v>
      </c>
      <c r="F377" t="s">
        <v>1287</v>
      </c>
      <c r="G377" t="s">
        <v>141</v>
      </c>
      <c r="H377" t="s">
        <v>1323</v>
      </c>
      <c r="I377" s="2" t="s">
        <v>141</v>
      </c>
      <c r="J377" s="13">
        <v>0.41422453703703704</v>
      </c>
    </row>
    <row r="378" spans="1:10" x14ac:dyDescent="0.35">
      <c r="A378" s="27">
        <v>2897293</v>
      </c>
      <c r="B378" t="s">
        <v>445</v>
      </c>
      <c r="C378" t="s">
        <v>463</v>
      </c>
      <c r="D378" t="s">
        <v>447</v>
      </c>
      <c r="E378" t="s">
        <v>1225</v>
      </c>
      <c r="F378" t="s">
        <v>1287</v>
      </c>
      <c r="G378" t="s">
        <v>141</v>
      </c>
      <c r="H378" t="s">
        <v>1324</v>
      </c>
      <c r="I378" s="2" t="s">
        <v>141</v>
      </c>
      <c r="J378" s="13">
        <v>0.44957175925925924</v>
      </c>
    </row>
    <row r="379" spans="1:10" x14ac:dyDescent="0.35">
      <c r="A379" s="27">
        <v>2897317</v>
      </c>
      <c r="B379" t="s">
        <v>445</v>
      </c>
      <c r="C379" t="s">
        <v>463</v>
      </c>
      <c r="D379" t="s">
        <v>447</v>
      </c>
      <c r="E379" t="s">
        <v>1225</v>
      </c>
      <c r="F379" t="s">
        <v>1287</v>
      </c>
      <c r="G379" t="s">
        <v>141</v>
      </c>
      <c r="H379" t="s">
        <v>1325</v>
      </c>
      <c r="I379" s="6">
        <v>45602</v>
      </c>
      <c r="J379" s="13">
        <v>0.65394675925925927</v>
      </c>
    </row>
    <row r="380" spans="1:10" x14ac:dyDescent="0.35">
      <c r="A380" s="27">
        <v>2897357</v>
      </c>
      <c r="B380" t="s">
        <v>445</v>
      </c>
      <c r="C380" t="s">
        <v>463</v>
      </c>
      <c r="D380" t="s">
        <v>447</v>
      </c>
      <c r="E380" t="s">
        <v>1225</v>
      </c>
      <c r="F380" t="s">
        <v>1287</v>
      </c>
      <c r="G380" t="s">
        <v>141</v>
      </c>
      <c r="H380" t="s">
        <v>1326</v>
      </c>
      <c r="I380" s="6">
        <v>45602</v>
      </c>
      <c r="J380" s="13">
        <v>0.67371527777777773</v>
      </c>
    </row>
    <row r="381" spans="1:10" x14ac:dyDescent="0.35">
      <c r="A381" s="27">
        <v>2897392</v>
      </c>
      <c r="B381" t="s">
        <v>445</v>
      </c>
      <c r="C381" t="s">
        <v>463</v>
      </c>
      <c r="D381" t="s">
        <v>447</v>
      </c>
      <c r="E381" t="s">
        <v>1225</v>
      </c>
      <c r="F381" t="s">
        <v>1287</v>
      </c>
      <c r="G381" t="s">
        <v>141</v>
      </c>
      <c r="H381" t="s">
        <v>1327</v>
      </c>
      <c r="I381" s="6">
        <v>45602</v>
      </c>
      <c r="J381" s="13">
        <v>0.68374999999999997</v>
      </c>
    </row>
    <row r="382" spans="1:10" x14ac:dyDescent="0.35">
      <c r="A382" s="27">
        <v>2897443</v>
      </c>
      <c r="B382" t="s">
        <v>984</v>
      </c>
      <c r="C382" t="s">
        <v>758</v>
      </c>
      <c r="D382" t="s">
        <v>1299</v>
      </c>
      <c r="E382" t="s">
        <v>1225</v>
      </c>
      <c r="F382" t="s">
        <v>1328</v>
      </c>
      <c r="G382" t="s">
        <v>141</v>
      </c>
      <c r="H382" t="s">
        <v>1329</v>
      </c>
      <c r="I382" s="6">
        <v>45602</v>
      </c>
      <c r="J382" s="13">
        <v>0.69998842592592592</v>
      </c>
    </row>
    <row r="383" spans="1:10" x14ac:dyDescent="0.35">
      <c r="A383" s="27">
        <v>2898130</v>
      </c>
      <c r="B383" t="s">
        <v>449</v>
      </c>
      <c r="C383" t="s">
        <v>1330</v>
      </c>
      <c r="D383" t="s">
        <v>366</v>
      </c>
      <c r="E383" t="s">
        <v>1225</v>
      </c>
      <c r="F383" t="s">
        <v>1331</v>
      </c>
      <c r="G383" t="s">
        <v>141</v>
      </c>
      <c r="H383" t="s">
        <v>1332</v>
      </c>
      <c r="I383" s="2" t="s">
        <v>67</v>
      </c>
      <c r="J383" s="13">
        <v>0.54674768518518524</v>
      </c>
    </row>
    <row r="384" spans="1:10" x14ac:dyDescent="0.35">
      <c r="A384" s="27">
        <v>2898321</v>
      </c>
      <c r="B384" t="s">
        <v>449</v>
      </c>
      <c r="C384" t="s">
        <v>1333</v>
      </c>
      <c r="D384" t="s">
        <v>366</v>
      </c>
      <c r="E384" t="s">
        <v>1225</v>
      </c>
      <c r="F384" t="s">
        <v>1334</v>
      </c>
      <c r="G384" t="s">
        <v>141</v>
      </c>
      <c r="H384" t="s">
        <v>1335</v>
      </c>
      <c r="I384" s="2" t="s">
        <v>91</v>
      </c>
      <c r="J384" s="13">
        <v>0.68074074074074076</v>
      </c>
    </row>
    <row r="385" spans="1:10" x14ac:dyDescent="0.35">
      <c r="A385" s="27">
        <v>2898337</v>
      </c>
      <c r="B385" t="s">
        <v>449</v>
      </c>
      <c r="C385" t="s">
        <v>451</v>
      </c>
      <c r="D385" t="s">
        <v>366</v>
      </c>
      <c r="E385" t="s">
        <v>1225</v>
      </c>
      <c r="F385" t="s">
        <v>1336</v>
      </c>
      <c r="G385" t="s">
        <v>141</v>
      </c>
      <c r="H385" t="s">
        <v>1337</v>
      </c>
      <c r="I385" s="2" t="s">
        <v>141</v>
      </c>
      <c r="J385" s="13">
        <v>0.73887731481481478</v>
      </c>
    </row>
    <row r="386" spans="1:10" x14ac:dyDescent="0.35">
      <c r="A386" s="27">
        <v>2898486</v>
      </c>
      <c r="B386" t="s">
        <v>449</v>
      </c>
      <c r="C386" t="s">
        <v>451</v>
      </c>
      <c r="D386" t="s">
        <v>366</v>
      </c>
      <c r="E386" t="s">
        <v>1225</v>
      </c>
      <c r="F386" t="s">
        <v>1336</v>
      </c>
      <c r="G386" t="s">
        <v>141</v>
      </c>
      <c r="H386" t="s">
        <v>1338</v>
      </c>
      <c r="I386" s="2" t="s">
        <v>67</v>
      </c>
      <c r="J386" s="13">
        <v>0.375</v>
      </c>
    </row>
    <row r="387" spans="1:10" x14ac:dyDescent="0.35">
      <c r="H387"/>
      <c r="I387" s="2" t="s">
        <v>91</v>
      </c>
      <c r="J387" s="13">
        <v>0.69606481481481486</v>
      </c>
    </row>
    <row r="388" spans="1:10" x14ac:dyDescent="0.35">
      <c r="H388"/>
      <c r="I388" s="2" t="s">
        <v>67</v>
      </c>
      <c r="J388" s="13">
        <v>0.45928240740740739</v>
      </c>
    </row>
    <row r="389" spans="1:10" x14ac:dyDescent="0.35">
      <c r="H389"/>
      <c r="I389" s="2" t="s">
        <v>91</v>
      </c>
      <c r="J389" s="13">
        <v>0.69122685185185184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00B6AD"/>
  </sheetPr>
  <dimension ref="A1:Q773"/>
  <sheetViews>
    <sheetView workbookViewId="0">
      <selection activeCell="E9" sqref="E9"/>
    </sheetView>
  </sheetViews>
  <sheetFormatPr defaultColWidth="8.90625" defaultRowHeight="14.5" x14ac:dyDescent="0.35"/>
  <cols>
    <col min="1" max="1" width="17" style="2" bestFit="1" customWidth="1"/>
    <col min="2" max="2" width="9.08984375" style="2" customWidth="1"/>
    <col min="3" max="3" width="7.36328125" style="2" customWidth="1"/>
    <col min="4" max="4" width="43.90625" style="2" bestFit="1" customWidth="1"/>
    <col min="5" max="5" width="81.54296875" style="2" bestFit="1" customWidth="1"/>
    <col min="6" max="6" width="14.6328125" style="6" bestFit="1" customWidth="1"/>
    <col min="7" max="7" width="13.453125" style="6" customWidth="1"/>
    <col min="8" max="8" width="10" style="2" bestFit="1" customWidth="1"/>
    <col min="9" max="9" width="22.81640625" style="2" customWidth="1"/>
    <col min="10" max="10" width="9.81640625" style="2" bestFit="1" customWidth="1"/>
    <col min="11" max="11" width="18.453125" style="2" bestFit="1" customWidth="1"/>
    <col min="12" max="12" width="10.54296875" style="2" bestFit="1" customWidth="1"/>
    <col min="13" max="13" width="57.1796875" style="2" bestFit="1" customWidth="1"/>
    <col min="14" max="16" width="22.08984375" style="2" bestFit="1" customWidth="1"/>
    <col min="17" max="17" width="33.08984375" style="2" bestFit="1" customWidth="1"/>
    <col min="18" max="16384" width="8.90625" style="2"/>
  </cols>
  <sheetData>
    <row r="1" spans="1:17" ht="54.65" customHeight="1" x14ac:dyDescent="0.35">
      <c r="A1" s="19"/>
      <c r="B1" s="19"/>
      <c r="C1" s="19"/>
      <c r="D1" s="19"/>
      <c r="E1" s="20"/>
      <c r="F1" s="21"/>
      <c r="G1" s="22"/>
      <c r="H1" s="20"/>
      <c r="I1" s="20"/>
      <c r="J1" s="20"/>
      <c r="K1" s="20"/>
      <c r="L1" s="20"/>
      <c r="M1" s="20"/>
      <c r="O1" s="19"/>
      <c r="P1" s="20"/>
    </row>
    <row r="2" spans="1:17" ht="15.5" x14ac:dyDescent="0.35">
      <c r="A2" s="3" t="s">
        <v>25</v>
      </c>
      <c r="B2" s="3" t="s">
        <v>0</v>
      </c>
      <c r="C2" s="3" t="s">
        <v>28</v>
      </c>
      <c r="D2" s="3" t="s">
        <v>29</v>
      </c>
      <c r="E2" s="3" t="s">
        <v>2</v>
      </c>
      <c r="F2" s="7" t="s">
        <v>3</v>
      </c>
      <c r="G2" s="7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4" t="s">
        <v>12</v>
      </c>
      <c r="O2" s="4" t="s">
        <v>26</v>
      </c>
      <c r="P2" s="4" t="s">
        <v>47</v>
      </c>
      <c r="Q2" s="5" t="s">
        <v>27</v>
      </c>
    </row>
    <row r="3" spans="1:17" x14ac:dyDescent="0.35">
      <c r="A3" s="2" t="s">
        <v>38</v>
      </c>
      <c r="B3" s="2">
        <v>715647</v>
      </c>
      <c r="C3" s="2">
        <v>360</v>
      </c>
      <c r="D3" s="2">
        <v>2537025</v>
      </c>
      <c r="E3" s="2" t="s">
        <v>62</v>
      </c>
      <c r="F3" s="6" t="s">
        <v>81</v>
      </c>
      <c r="G3" s="6" t="s">
        <v>82</v>
      </c>
      <c r="H3" s="2">
        <v>9554</v>
      </c>
      <c r="I3" s="2" t="s">
        <v>83</v>
      </c>
      <c r="J3" s="2">
        <v>2020</v>
      </c>
      <c r="K3" s="2">
        <v>1.1530100000000001</v>
      </c>
      <c r="L3" s="2" t="s">
        <v>65</v>
      </c>
      <c r="M3" s="2" t="s">
        <v>84</v>
      </c>
      <c r="N3" s="2">
        <f t="shared" ref="N3:N66" ca="1" si="0">IF(G3 &lt; TODAY(), -NETWORKDAYS(G3, TODAY()), NETWORKDAYS(TODAY(), G3))</f>
        <v>-42</v>
      </c>
      <c r="O3" s="6">
        <f t="shared" ref="O3:O66" ca="1" si="1">TODAY()</f>
        <v>45456</v>
      </c>
      <c r="P3" s="2">
        <f t="shared" ref="P3:P66" ca="1" si="2">NETWORKDAYS(O3,TODAY())</f>
        <v>1</v>
      </c>
      <c r="Q3" s="2">
        <f>IFERROR(VLOOKUP(B3,'360'!A:A,1,FALSE),(VLOOKUP(B3,Fluig!A:A,1,FALSE)))</f>
        <v>715647</v>
      </c>
    </row>
    <row r="4" spans="1:17" x14ac:dyDescent="0.35">
      <c r="A4" s="2" t="s">
        <v>38</v>
      </c>
      <c r="B4" s="2">
        <v>591613</v>
      </c>
      <c r="C4" s="2">
        <v>360</v>
      </c>
      <c r="D4" s="2">
        <v>2314480</v>
      </c>
      <c r="E4" s="2" t="s">
        <v>62</v>
      </c>
      <c r="F4" s="6" t="s">
        <v>63</v>
      </c>
      <c r="G4" s="6" t="s">
        <v>64</v>
      </c>
      <c r="H4" s="2">
        <v>9000</v>
      </c>
      <c r="I4" s="2" t="s">
        <v>416</v>
      </c>
      <c r="J4" s="2">
        <v>970</v>
      </c>
      <c r="K4" s="2">
        <v>1.0460100000000001</v>
      </c>
      <c r="L4" s="2" t="s">
        <v>65</v>
      </c>
      <c r="M4" s="2" t="s">
        <v>66</v>
      </c>
      <c r="N4" s="2">
        <f t="shared" ca="1" si="0"/>
        <v>-135</v>
      </c>
      <c r="O4" s="6">
        <f t="shared" ca="1" si="1"/>
        <v>45456</v>
      </c>
      <c r="P4" s="2">
        <f t="shared" ca="1" si="2"/>
        <v>1</v>
      </c>
      <c r="Q4" s="2">
        <f>IFERROR(VLOOKUP(B4,'360'!A:A,1,FALSE),(VLOOKUP(B4,Fluig!A:A,1,FALSE)))</f>
        <v>591613</v>
      </c>
    </row>
    <row r="5" spans="1:17" x14ac:dyDescent="0.35">
      <c r="A5" s="2" t="s">
        <v>36</v>
      </c>
      <c r="B5" s="2">
        <v>701218</v>
      </c>
      <c r="C5" s="2">
        <v>360</v>
      </c>
      <c r="D5" s="2">
        <v>2511654</v>
      </c>
      <c r="E5" s="2" t="s">
        <v>418</v>
      </c>
      <c r="F5" s="6" t="s">
        <v>11</v>
      </c>
      <c r="G5" s="6" t="s">
        <v>419</v>
      </c>
      <c r="H5" s="2">
        <v>202</v>
      </c>
      <c r="I5" s="2" t="s">
        <v>416</v>
      </c>
      <c r="J5" s="2">
        <v>6723</v>
      </c>
      <c r="K5" s="2">
        <v>1.07602</v>
      </c>
      <c r="L5" s="2" t="s">
        <v>65</v>
      </c>
      <c r="M5" s="2" t="s">
        <v>77</v>
      </c>
      <c r="N5" s="2">
        <f t="shared" ca="1" si="0"/>
        <v>-45</v>
      </c>
      <c r="O5" s="6">
        <f t="shared" ca="1" si="1"/>
        <v>45456</v>
      </c>
      <c r="P5" s="2">
        <f t="shared" ca="1" si="2"/>
        <v>1</v>
      </c>
    </row>
    <row r="6" spans="1:17" x14ac:dyDescent="0.35">
      <c r="A6" s="2" t="s">
        <v>36</v>
      </c>
      <c r="B6" s="2">
        <v>701216</v>
      </c>
      <c r="C6" s="2">
        <v>360</v>
      </c>
      <c r="D6" s="2">
        <v>2511649</v>
      </c>
      <c r="E6" s="2" t="s">
        <v>418</v>
      </c>
      <c r="F6" s="6" t="s">
        <v>11</v>
      </c>
      <c r="G6" s="6" t="s">
        <v>419</v>
      </c>
      <c r="H6" s="2">
        <v>201</v>
      </c>
      <c r="I6" s="2" t="s">
        <v>416</v>
      </c>
      <c r="J6" s="2">
        <v>6761.1</v>
      </c>
      <c r="K6" s="2">
        <v>1.07602</v>
      </c>
      <c r="L6" s="2" t="s">
        <v>65</v>
      </c>
      <c r="M6" s="2" t="s">
        <v>77</v>
      </c>
      <c r="N6" s="2">
        <f t="shared" ca="1" si="0"/>
        <v>-45</v>
      </c>
      <c r="O6" s="6">
        <f t="shared" ca="1" si="1"/>
        <v>45456</v>
      </c>
      <c r="P6" s="2">
        <f t="shared" ca="1" si="2"/>
        <v>1</v>
      </c>
    </row>
    <row r="7" spans="1:17" x14ac:dyDescent="0.35">
      <c r="A7" s="2" t="s">
        <v>42</v>
      </c>
      <c r="B7" s="2">
        <v>740097</v>
      </c>
      <c r="C7" s="2">
        <v>360</v>
      </c>
      <c r="D7" s="2">
        <v>2578987</v>
      </c>
      <c r="E7" s="2" t="s">
        <v>88</v>
      </c>
      <c r="F7" s="6" t="s">
        <v>89</v>
      </c>
      <c r="G7" s="6" t="s">
        <v>90</v>
      </c>
      <c r="H7" s="2">
        <v>66705</v>
      </c>
      <c r="I7" s="2" t="s">
        <v>539</v>
      </c>
      <c r="J7" s="2">
        <v>1008.76</v>
      </c>
      <c r="K7" s="2">
        <v>1.07602</v>
      </c>
      <c r="L7" s="2" t="s">
        <v>76</v>
      </c>
      <c r="M7" s="2" t="s">
        <v>77</v>
      </c>
      <c r="N7" s="2">
        <f t="shared" ca="1" si="0"/>
        <v>-17</v>
      </c>
      <c r="O7" s="6">
        <f t="shared" ca="1" si="1"/>
        <v>45456</v>
      </c>
      <c r="P7" s="2">
        <f t="shared" ca="1" si="2"/>
        <v>1</v>
      </c>
    </row>
    <row r="8" spans="1:17" x14ac:dyDescent="0.35">
      <c r="A8" s="2" t="s">
        <v>40</v>
      </c>
      <c r="B8" s="2">
        <v>764106</v>
      </c>
      <c r="C8" s="2">
        <v>360</v>
      </c>
      <c r="D8" s="2">
        <v>2676673</v>
      </c>
      <c r="E8" s="2" t="s">
        <v>93</v>
      </c>
      <c r="F8" s="6" t="s">
        <v>94</v>
      </c>
      <c r="G8" s="6" t="s">
        <v>95</v>
      </c>
      <c r="H8" s="2">
        <v>370</v>
      </c>
      <c r="I8" s="2" t="s">
        <v>83</v>
      </c>
      <c r="J8" s="2">
        <v>376.2</v>
      </c>
      <c r="K8" s="2">
        <v>1.0390900000000001</v>
      </c>
      <c r="L8" s="2" t="s">
        <v>65</v>
      </c>
      <c r="M8" s="2" t="s">
        <v>96</v>
      </c>
      <c r="N8" s="2">
        <f t="shared" ca="1" si="0"/>
        <v>-19</v>
      </c>
      <c r="O8" s="6">
        <f t="shared" ca="1" si="1"/>
        <v>45456</v>
      </c>
      <c r="P8" s="2">
        <f t="shared" ca="1" si="2"/>
        <v>1</v>
      </c>
    </row>
    <row r="9" spans="1:17" x14ac:dyDescent="0.35">
      <c r="A9" s="2" t="s">
        <v>38</v>
      </c>
      <c r="B9" s="2">
        <v>756910</v>
      </c>
      <c r="C9" s="2">
        <v>360</v>
      </c>
      <c r="D9" s="2">
        <v>2620764</v>
      </c>
      <c r="E9" s="2" t="s">
        <v>97</v>
      </c>
      <c r="F9" s="6" t="s">
        <v>98</v>
      </c>
      <c r="G9" s="6" t="s">
        <v>99</v>
      </c>
      <c r="H9" s="2">
        <v>2024821</v>
      </c>
      <c r="I9" s="2" t="s">
        <v>100</v>
      </c>
      <c r="J9" s="2">
        <v>165</v>
      </c>
      <c r="K9" s="2">
        <v>1.1040099999999999</v>
      </c>
      <c r="L9" s="2" t="s">
        <v>65</v>
      </c>
      <c r="M9" s="2" t="s">
        <v>101</v>
      </c>
      <c r="N9" s="2">
        <f t="shared" ca="1" si="0"/>
        <v>-15</v>
      </c>
      <c r="O9" s="6">
        <f t="shared" ca="1" si="1"/>
        <v>45456</v>
      </c>
      <c r="P9" s="2">
        <f t="shared" ca="1" si="2"/>
        <v>1</v>
      </c>
    </row>
    <row r="10" spans="1:17" x14ac:dyDescent="0.35">
      <c r="A10" s="2" t="s">
        <v>36</v>
      </c>
      <c r="B10" s="2">
        <v>749598</v>
      </c>
      <c r="C10" s="2">
        <v>360</v>
      </c>
      <c r="D10" s="2">
        <v>2598114</v>
      </c>
      <c r="E10" s="2" t="s">
        <v>420</v>
      </c>
      <c r="F10" s="6" t="s">
        <v>110</v>
      </c>
      <c r="G10" s="6" t="s">
        <v>114</v>
      </c>
      <c r="H10" s="2">
        <v>5</v>
      </c>
      <c r="I10" s="2" t="s">
        <v>79</v>
      </c>
      <c r="J10" s="2">
        <v>13538</v>
      </c>
      <c r="K10" s="2">
        <v>1.0740099999999999</v>
      </c>
      <c r="L10" s="2" t="s">
        <v>65</v>
      </c>
      <c r="M10" s="2" t="s">
        <v>105</v>
      </c>
      <c r="N10" s="2">
        <f t="shared" ca="1" si="0"/>
        <v>-14</v>
      </c>
      <c r="O10" s="6">
        <f t="shared" ca="1" si="1"/>
        <v>45456</v>
      </c>
      <c r="P10" s="2">
        <f t="shared" ca="1" si="2"/>
        <v>1</v>
      </c>
    </row>
    <row r="11" spans="1:17" x14ac:dyDescent="0.35">
      <c r="A11" s="2" t="s">
        <v>38</v>
      </c>
      <c r="B11" s="2">
        <v>755709</v>
      </c>
      <c r="C11" s="2">
        <v>360</v>
      </c>
      <c r="D11" s="2">
        <v>2615345</v>
      </c>
      <c r="E11" s="2" t="s">
        <v>62</v>
      </c>
      <c r="F11" s="6" t="s">
        <v>106</v>
      </c>
      <c r="G11" s="6" t="s">
        <v>104</v>
      </c>
      <c r="H11" s="2">
        <v>9711</v>
      </c>
      <c r="I11" s="2" t="s">
        <v>83</v>
      </c>
      <c r="J11" s="2">
        <v>970</v>
      </c>
      <c r="K11" s="2">
        <v>1.1530100000000001</v>
      </c>
      <c r="L11" s="2" t="s">
        <v>65</v>
      </c>
      <c r="M11" s="2" t="s">
        <v>84</v>
      </c>
      <c r="N11" s="2">
        <f t="shared" ca="1" si="0"/>
        <v>-12</v>
      </c>
      <c r="O11" s="6">
        <f t="shared" ca="1" si="1"/>
        <v>45456</v>
      </c>
      <c r="P11" s="2">
        <f t="shared" ca="1" si="2"/>
        <v>1</v>
      </c>
    </row>
    <row r="12" spans="1:17" x14ac:dyDescent="0.35">
      <c r="A12" s="2" t="s">
        <v>42</v>
      </c>
      <c r="B12" s="2">
        <v>749609</v>
      </c>
      <c r="C12" s="2">
        <v>360</v>
      </c>
      <c r="D12" s="2">
        <v>2598119</v>
      </c>
      <c r="E12" s="2" t="s">
        <v>109</v>
      </c>
      <c r="F12" s="6" t="s">
        <v>110</v>
      </c>
      <c r="G12" s="6" t="s">
        <v>111</v>
      </c>
      <c r="H12" s="2">
        <v>565</v>
      </c>
      <c r="I12" s="2" t="s">
        <v>79</v>
      </c>
      <c r="J12" s="2">
        <v>1120</v>
      </c>
      <c r="L12" s="2" t="s">
        <v>76</v>
      </c>
      <c r="M12" s="2" t="s">
        <v>112</v>
      </c>
      <c r="N12" s="2">
        <f t="shared" ca="1" si="0"/>
        <v>-9</v>
      </c>
      <c r="O12" s="6">
        <f t="shared" ca="1" si="1"/>
        <v>45456</v>
      </c>
      <c r="P12" s="2">
        <f t="shared" ca="1" si="2"/>
        <v>1</v>
      </c>
    </row>
    <row r="13" spans="1:17" x14ac:dyDescent="0.35">
      <c r="A13" s="2" t="s">
        <v>40</v>
      </c>
      <c r="B13" s="2">
        <v>769484</v>
      </c>
      <c r="C13" s="2">
        <v>360</v>
      </c>
      <c r="D13" s="2">
        <v>2884246</v>
      </c>
      <c r="E13" s="2" t="s">
        <v>70</v>
      </c>
      <c r="F13" s="6" t="s">
        <v>126</v>
      </c>
      <c r="G13" s="6" t="s">
        <v>124</v>
      </c>
      <c r="H13" s="2">
        <v>2807</v>
      </c>
      <c r="I13" s="2" t="s">
        <v>68</v>
      </c>
      <c r="J13" s="2">
        <v>1400</v>
      </c>
      <c r="K13" s="2">
        <v>1.04101</v>
      </c>
      <c r="L13" s="2" t="s">
        <v>65</v>
      </c>
      <c r="M13" s="2" t="s">
        <v>443</v>
      </c>
      <c r="N13" s="2">
        <f t="shared" ca="1" si="0"/>
        <v>-4</v>
      </c>
      <c r="O13" s="6">
        <f t="shared" ca="1" si="1"/>
        <v>45456</v>
      </c>
      <c r="P13" s="2">
        <f t="shared" ca="1" si="2"/>
        <v>1</v>
      </c>
    </row>
    <row r="14" spans="1:17" x14ac:dyDescent="0.35">
      <c r="A14" s="2" t="s">
        <v>38</v>
      </c>
      <c r="B14" s="2">
        <v>761122</v>
      </c>
      <c r="C14" s="2">
        <v>360</v>
      </c>
      <c r="D14" s="2">
        <v>2875039</v>
      </c>
      <c r="E14" s="2" t="s">
        <v>118</v>
      </c>
      <c r="F14" s="6" t="s">
        <v>107</v>
      </c>
      <c r="G14" s="6" t="s">
        <v>124</v>
      </c>
      <c r="H14" s="2">
        <v>412313</v>
      </c>
      <c r="I14" s="2" t="s">
        <v>68</v>
      </c>
      <c r="J14" s="2">
        <v>2690.89</v>
      </c>
      <c r="K14" s="2">
        <v>1.02901</v>
      </c>
      <c r="L14" s="2" t="s">
        <v>76</v>
      </c>
      <c r="M14" s="2" t="s">
        <v>119</v>
      </c>
      <c r="N14" s="2">
        <f t="shared" ca="1" si="0"/>
        <v>-4</v>
      </c>
      <c r="O14" s="6">
        <f t="shared" ca="1" si="1"/>
        <v>45456</v>
      </c>
      <c r="P14" s="2">
        <f t="shared" ca="1" si="2"/>
        <v>1</v>
      </c>
    </row>
    <row r="15" spans="1:17" x14ac:dyDescent="0.35">
      <c r="A15" s="2" t="s">
        <v>36</v>
      </c>
      <c r="B15" s="2">
        <v>760357</v>
      </c>
      <c r="C15" s="2">
        <v>360</v>
      </c>
      <c r="D15" s="2">
        <v>2863141</v>
      </c>
      <c r="E15" s="2" t="s">
        <v>545</v>
      </c>
      <c r="F15" s="6" t="s">
        <v>106</v>
      </c>
      <c r="G15" s="6" t="s">
        <v>78</v>
      </c>
      <c r="H15" s="2">
        <v>653367</v>
      </c>
      <c r="I15" s="2" t="s">
        <v>68</v>
      </c>
      <c r="J15" s="2">
        <v>24599</v>
      </c>
      <c r="K15" s="2">
        <v>1.0740099999999999</v>
      </c>
      <c r="L15" s="2" t="s">
        <v>76</v>
      </c>
      <c r="M15" s="2" t="s">
        <v>105</v>
      </c>
      <c r="N15" s="2">
        <f t="shared" ca="1" si="0"/>
        <v>-5</v>
      </c>
      <c r="O15" s="6">
        <f t="shared" ca="1" si="1"/>
        <v>45456</v>
      </c>
      <c r="P15" s="2">
        <f t="shared" ca="1" si="2"/>
        <v>1</v>
      </c>
    </row>
    <row r="16" spans="1:17" x14ac:dyDescent="0.35">
      <c r="A16" s="2" t="s">
        <v>42</v>
      </c>
      <c r="B16" s="2">
        <v>755603</v>
      </c>
      <c r="C16" s="2">
        <v>360</v>
      </c>
      <c r="D16" s="2">
        <v>2614054</v>
      </c>
      <c r="E16" s="2" t="s">
        <v>547</v>
      </c>
      <c r="F16" s="6" t="s">
        <v>98</v>
      </c>
      <c r="G16" s="6" t="s">
        <v>127</v>
      </c>
      <c r="H16" s="2">
        <v>149</v>
      </c>
      <c r="I16" s="2" t="s">
        <v>68</v>
      </c>
      <c r="J16" s="2">
        <v>88136.25</v>
      </c>
      <c r="K16" s="2">
        <v>1.0480100000000001</v>
      </c>
      <c r="L16" s="2" t="s">
        <v>65</v>
      </c>
      <c r="M16" s="2" t="s">
        <v>75</v>
      </c>
      <c r="N16" s="2">
        <f t="shared" ca="1" si="0"/>
        <v>-2</v>
      </c>
      <c r="O16" s="6">
        <f t="shared" ca="1" si="1"/>
        <v>45456</v>
      </c>
      <c r="P16" s="2">
        <f t="shared" ca="1" si="2"/>
        <v>1</v>
      </c>
    </row>
    <row r="17" spans="1:16" x14ac:dyDescent="0.35">
      <c r="A17" s="2" t="s">
        <v>40</v>
      </c>
      <c r="B17" s="2">
        <v>750793</v>
      </c>
      <c r="C17" s="2">
        <v>360</v>
      </c>
      <c r="D17" s="2">
        <v>2601239</v>
      </c>
      <c r="E17" s="2" t="s">
        <v>548</v>
      </c>
      <c r="F17" s="6" t="s">
        <v>110</v>
      </c>
      <c r="G17" s="6" t="s">
        <v>114</v>
      </c>
      <c r="H17" s="2">
        <v>2024212</v>
      </c>
      <c r="I17" s="2" t="s">
        <v>68</v>
      </c>
      <c r="J17" s="2">
        <v>285</v>
      </c>
      <c r="K17" s="2">
        <v>1.01702</v>
      </c>
      <c r="L17" s="2" t="s">
        <v>65</v>
      </c>
      <c r="M17" s="2" t="s">
        <v>190</v>
      </c>
      <c r="N17" s="2">
        <f t="shared" ca="1" si="0"/>
        <v>-14</v>
      </c>
      <c r="O17" s="6">
        <f t="shared" ca="1" si="1"/>
        <v>45456</v>
      </c>
      <c r="P17" s="2">
        <f t="shared" ca="1" si="2"/>
        <v>1</v>
      </c>
    </row>
    <row r="18" spans="1:16" x14ac:dyDescent="0.35">
      <c r="A18" s="2" t="s">
        <v>38</v>
      </c>
      <c r="B18" s="2">
        <v>750568</v>
      </c>
      <c r="C18" s="2">
        <v>360</v>
      </c>
      <c r="D18" s="2">
        <v>2612359</v>
      </c>
      <c r="E18" s="2" t="s">
        <v>136</v>
      </c>
      <c r="F18" s="6" t="s">
        <v>134</v>
      </c>
      <c r="G18" s="6" t="s">
        <v>78</v>
      </c>
      <c r="H18" s="2">
        <v>395</v>
      </c>
      <c r="I18" s="2" t="s">
        <v>137</v>
      </c>
      <c r="J18" s="2">
        <v>25000</v>
      </c>
      <c r="K18" s="2">
        <v>1.0010399999999999</v>
      </c>
      <c r="L18" s="2" t="s">
        <v>65</v>
      </c>
      <c r="M18" s="2" t="s">
        <v>86</v>
      </c>
      <c r="N18" s="2">
        <f t="shared" ca="1" si="0"/>
        <v>-5</v>
      </c>
      <c r="O18" s="6">
        <f t="shared" ca="1" si="1"/>
        <v>45456</v>
      </c>
      <c r="P18" s="2">
        <f t="shared" ca="1" si="2"/>
        <v>1</v>
      </c>
    </row>
    <row r="19" spans="1:16" x14ac:dyDescent="0.35">
      <c r="A19" s="2" t="s">
        <v>36</v>
      </c>
      <c r="B19" s="2">
        <v>786033</v>
      </c>
      <c r="C19" s="2">
        <v>360</v>
      </c>
      <c r="D19" s="2">
        <v>2884235</v>
      </c>
      <c r="E19" s="2" t="s">
        <v>551</v>
      </c>
      <c r="F19" s="6" t="s">
        <v>85</v>
      </c>
      <c r="G19" s="6" t="s">
        <v>124</v>
      </c>
      <c r="H19" s="2">
        <v>23</v>
      </c>
      <c r="I19" s="2" t="s">
        <v>79</v>
      </c>
      <c r="J19" s="2">
        <v>1050</v>
      </c>
      <c r="K19" s="2">
        <v>1.10301</v>
      </c>
      <c r="L19" s="2" t="s">
        <v>65</v>
      </c>
      <c r="M19" s="2" t="s">
        <v>444</v>
      </c>
      <c r="N19" s="2">
        <f t="shared" ca="1" si="0"/>
        <v>-4</v>
      </c>
      <c r="O19" s="6">
        <f t="shared" ca="1" si="1"/>
        <v>45456</v>
      </c>
      <c r="P19" s="2">
        <f t="shared" ca="1" si="2"/>
        <v>1</v>
      </c>
    </row>
    <row r="20" spans="1:16" x14ac:dyDescent="0.35">
      <c r="A20" s="2" t="s">
        <v>42</v>
      </c>
      <c r="B20" s="2">
        <v>784547</v>
      </c>
      <c r="C20" s="2">
        <v>360</v>
      </c>
      <c r="D20" s="2">
        <v>2878438</v>
      </c>
      <c r="E20" s="2" t="s">
        <v>552</v>
      </c>
      <c r="F20" s="6" t="s">
        <v>139</v>
      </c>
      <c r="G20" s="6" t="s">
        <v>124</v>
      </c>
      <c r="H20" s="2">
        <v>52115</v>
      </c>
      <c r="I20" s="2" t="s">
        <v>68</v>
      </c>
      <c r="J20" s="2">
        <v>838.1</v>
      </c>
      <c r="K20" s="2">
        <v>1.04101</v>
      </c>
      <c r="L20" s="2" t="s">
        <v>65</v>
      </c>
      <c r="M20" s="2" t="s">
        <v>443</v>
      </c>
      <c r="N20" s="2">
        <f t="shared" ca="1" si="0"/>
        <v>-4</v>
      </c>
      <c r="O20" s="6">
        <f t="shared" ca="1" si="1"/>
        <v>45456</v>
      </c>
      <c r="P20" s="2">
        <f t="shared" ca="1" si="2"/>
        <v>1</v>
      </c>
    </row>
    <row r="21" spans="1:16" x14ac:dyDescent="0.35">
      <c r="A21" s="2" t="s">
        <v>40</v>
      </c>
      <c r="B21" s="2">
        <v>782189</v>
      </c>
      <c r="C21" s="2">
        <v>360</v>
      </c>
      <c r="D21" s="2">
        <v>2873202</v>
      </c>
      <c r="E21" s="2" t="s">
        <v>182</v>
      </c>
      <c r="F21" s="6" t="s">
        <v>135</v>
      </c>
      <c r="G21" s="6" t="s">
        <v>124</v>
      </c>
      <c r="H21" s="2">
        <v>6154</v>
      </c>
      <c r="I21" s="2" t="s">
        <v>79</v>
      </c>
      <c r="J21" s="2">
        <v>11692.02</v>
      </c>
      <c r="K21" s="2">
        <v>1.07602</v>
      </c>
      <c r="L21" s="2" t="s">
        <v>76</v>
      </c>
      <c r="M21" s="2" t="s">
        <v>77</v>
      </c>
      <c r="N21" s="2">
        <f t="shared" ca="1" si="0"/>
        <v>-4</v>
      </c>
      <c r="O21" s="6">
        <f t="shared" ca="1" si="1"/>
        <v>45456</v>
      </c>
      <c r="P21" s="2">
        <f t="shared" ca="1" si="2"/>
        <v>1</v>
      </c>
    </row>
    <row r="22" spans="1:16" x14ac:dyDescent="0.35">
      <c r="A22" s="2" t="s">
        <v>38</v>
      </c>
      <c r="B22" s="2">
        <v>780829</v>
      </c>
      <c r="C22" s="2">
        <v>360</v>
      </c>
      <c r="D22" s="2">
        <v>2868596</v>
      </c>
      <c r="E22" s="2" t="s">
        <v>144</v>
      </c>
      <c r="F22" s="6" t="s">
        <v>108</v>
      </c>
      <c r="G22" s="6" t="s">
        <v>124</v>
      </c>
      <c r="H22" s="2">
        <v>103417</v>
      </c>
      <c r="I22" s="2" t="s">
        <v>416</v>
      </c>
      <c r="J22" s="2">
        <v>5310</v>
      </c>
      <c r="K22" s="2">
        <v>1.06501</v>
      </c>
      <c r="L22" s="2" t="s">
        <v>143</v>
      </c>
      <c r="M22" s="2" t="s">
        <v>145</v>
      </c>
      <c r="N22" s="2">
        <f t="shared" ca="1" si="0"/>
        <v>-4</v>
      </c>
      <c r="O22" s="6">
        <f t="shared" ca="1" si="1"/>
        <v>45456</v>
      </c>
      <c r="P22" s="2">
        <f t="shared" ca="1" si="2"/>
        <v>1</v>
      </c>
    </row>
    <row r="23" spans="1:16" x14ac:dyDescent="0.35">
      <c r="A23" s="2" t="s">
        <v>36</v>
      </c>
      <c r="B23" s="2">
        <v>781158</v>
      </c>
      <c r="C23" s="2">
        <v>360</v>
      </c>
      <c r="D23" s="2">
        <v>2869948</v>
      </c>
      <c r="E23" s="2" t="s">
        <v>153</v>
      </c>
      <c r="F23" s="6" t="s">
        <v>135</v>
      </c>
      <c r="G23" s="6" t="s">
        <v>127</v>
      </c>
      <c r="H23" s="2">
        <v>50</v>
      </c>
      <c r="I23" s="2" t="s">
        <v>123</v>
      </c>
      <c r="J23" s="2">
        <v>8400</v>
      </c>
      <c r="K23" s="2">
        <v>1.0010399999999999</v>
      </c>
      <c r="L23" s="2" t="s">
        <v>65</v>
      </c>
      <c r="M23" s="2" t="s">
        <v>86</v>
      </c>
      <c r="N23" s="2">
        <f t="shared" ca="1" si="0"/>
        <v>-2</v>
      </c>
      <c r="O23" s="6">
        <f t="shared" ca="1" si="1"/>
        <v>45456</v>
      </c>
      <c r="P23" s="2">
        <f t="shared" ca="1" si="2"/>
        <v>1</v>
      </c>
    </row>
    <row r="24" spans="1:16" x14ac:dyDescent="0.35">
      <c r="A24" s="2" t="s">
        <v>42</v>
      </c>
      <c r="B24" s="2">
        <v>789145</v>
      </c>
      <c r="C24" s="2">
        <v>360</v>
      </c>
      <c r="D24" s="2">
        <v>2889041</v>
      </c>
      <c r="E24" s="2" t="s">
        <v>557</v>
      </c>
      <c r="F24" s="6" t="s">
        <v>85</v>
      </c>
      <c r="G24" s="6" t="s">
        <v>558</v>
      </c>
      <c r="H24" s="2">
        <v>5197</v>
      </c>
      <c r="I24" s="2" t="s">
        <v>79</v>
      </c>
      <c r="J24" s="2">
        <v>550</v>
      </c>
      <c r="K24" s="2">
        <v>1.0740099999999999</v>
      </c>
      <c r="L24" s="2" t="s">
        <v>65</v>
      </c>
      <c r="M24" s="2" t="s">
        <v>105</v>
      </c>
      <c r="N24" s="2">
        <f t="shared" ca="1" si="0"/>
        <v>-14</v>
      </c>
      <c r="O24" s="6">
        <f t="shared" ca="1" si="1"/>
        <v>45456</v>
      </c>
      <c r="P24" s="2">
        <f t="shared" ca="1" si="2"/>
        <v>1</v>
      </c>
    </row>
    <row r="25" spans="1:16" x14ac:dyDescent="0.35">
      <c r="A25" s="2" t="s">
        <v>37</v>
      </c>
      <c r="B25" s="2">
        <v>2050015</v>
      </c>
      <c r="C25" s="2" t="s">
        <v>33</v>
      </c>
      <c r="D25" s="2" t="s">
        <v>309</v>
      </c>
      <c r="E25" s="2" t="s">
        <v>311</v>
      </c>
      <c r="F25" s="6" t="s">
        <v>313</v>
      </c>
      <c r="G25" s="6">
        <v>45418</v>
      </c>
      <c r="I25" s="2" t="s">
        <v>310</v>
      </c>
      <c r="L25" s="2" t="s">
        <v>312</v>
      </c>
      <c r="N25" s="2">
        <f t="shared" ca="1" si="0"/>
        <v>-29</v>
      </c>
      <c r="O25" s="6">
        <f t="shared" ca="1" si="1"/>
        <v>45456</v>
      </c>
      <c r="P25" s="2">
        <f t="shared" ca="1" si="2"/>
        <v>1</v>
      </c>
    </row>
    <row r="26" spans="1:16" x14ac:dyDescent="0.35">
      <c r="A26" s="2" t="s">
        <v>40</v>
      </c>
      <c r="B26" s="2">
        <v>2160235</v>
      </c>
      <c r="C26" s="2" t="s">
        <v>33</v>
      </c>
      <c r="D26" s="2" t="s">
        <v>309</v>
      </c>
      <c r="E26" s="2" t="s">
        <v>314</v>
      </c>
      <c r="F26" s="6" t="s">
        <v>316</v>
      </c>
      <c r="G26" s="6">
        <v>45388</v>
      </c>
      <c r="I26" s="2" t="s">
        <v>310</v>
      </c>
      <c r="L26" s="2" t="s">
        <v>315</v>
      </c>
      <c r="N26" s="2">
        <f t="shared" ca="1" si="0"/>
        <v>-49</v>
      </c>
      <c r="O26" s="6">
        <f t="shared" ca="1" si="1"/>
        <v>45456</v>
      </c>
      <c r="P26" s="2">
        <f t="shared" ca="1" si="2"/>
        <v>1</v>
      </c>
    </row>
    <row r="27" spans="1:16" x14ac:dyDescent="0.35">
      <c r="A27" s="2" t="s">
        <v>36</v>
      </c>
      <c r="B27" s="2">
        <v>2459582</v>
      </c>
      <c r="C27" s="2" t="s">
        <v>33</v>
      </c>
      <c r="D27" s="2" t="s">
        <v>309</v>
      </c>
      <c r="E27" s="2" t="s">
        <v>326</v>
      </c>
      <c r="F27" s="6" t="s">
        <v>328</v>
      </c>
      <c r="G27" s="6">
        <v>45418</v>
      </c>
      <c r="I27" s="2" t="s">
        <v>310</v>
      </c>
      <c r="L27" s="2" t="s">
        <v>327</v>
      </c>
      <c r="N27" s="2">
        <f t="shared" ca="1" si="0"/>
        <v>-29</v>
      </c>
      <c r="O27" s="6">
        <f t="shared" ca="1" si="1"/>
        <v>45456</v>
      </c>
      <c r="P27" s="2">
        <f t="shared" ca="1" si="2"/>
        <v>1</v>
      </c>
    </row>
    <row r="28" spans="1:16" x14ac:dyDescent="0.35">
      <c r="A28" s="2" t="s">
        <v>38</v>
      </c>
      <c r="B28" s="2">
        <v>2496948</v>
      </c>
      <c r="C28" s="2" t="s">
        <v>33</v>
      </c>
      <c r="D28" s="2" t="s">
        <v>21</v>
      </c>
      <c r="E28" s="2" t="s">
        <v>22</v>
      </c>
      <c r="F28" s="6" t="s">
        <v>265</v>
      </c>
      <c r="G28" s="6">
        <v>45449</v>
      </c>
      <c r="I28" s="2" t="s">
        <v>56</v>
      </c>
      <c r="L28" s="2" t="s">
        <v>722</v>
      </c>
      <c r="N28" s="2">
        <f t="shared" ca="1" si="0"/>
        <v>-6</v>
      </c>
      <c r="O28" s="6">
        <f t="shared" ca="1" si="1"/>
        <v>45456</v>
      </c>
      <c r="P28" s="2">
        <f t="shared" ca="1" si="2"/>
        <v>1</v>
      </c>
    </row>
    <row r="29" spans="1:16" x14ac:dyDescent="0.35">
      <c r="A29" s="2" t="s">
        <v>42</v>
      </c>
      <c r="B29" s="2">
        <v>2496950</v>
      </c>
      <c r="C29" s="2" t="s">
        <v>33</v>
      </c>
      <c r="D29" s="2" t="s">
        <v>21</v>
      </c>
      <c r="E29" s="2" t="s">
        <v>22</v>
      </c>
      <c r="F29" s="6" t="s">
        <v>265</v>
      </c>
      <c r="G29" s="6">
        <v>45449</v>
      </c>
      <c r="I29" s="2" t="s">
        <v>56</v>
      </c>
      <c r="L29" s="2" t="s">
        <v>57</v>
      </c>
      <c r="N29" s="2">
        <f t="shared" ca="1" si="0"/>
        <v>-6</v>
      </c>
      <c r="O29" s="6">
        <f t="shared" ca="1" si="1"/>
        <v>45456</v>
      </c>
      <c r="P29" s="2">
        <f t="shared" ca="1" si="2"/>
        <v>1</v>
      </c>
    </row>
    <row r="30" spans="1:16" x14ac:dyDescent="0.35">
      <c r="A30" s="2" t="s">
        <v>43</v>
      </c>
      <c r="B30" s="2">
        <v>2501480</v>
      </c>
      <c r="C30" s="2" t="s">
        <v>33</v>
      </c>
      <c r="D30" s="2" t="s">
        <v>21</v>
      </c>
      <c r="E30" s="2" t="s">
        <v>22</v>
      </c>
      <c r="F30" s="6" t="s">
        <v>329</v>
      </c>
      <c r="G30" s="6">
        <v>45449</v>
      </c>
      <c r="I30" s="2" t="s">
        <v>56</v>
      </c>
      <c r="L30" s="2" t="s">
        <v>57</v>
      </c>
      <c r="N30" s="2">
        <f t="shared" ca="1" si="0"/>
        <v>-6</v>
      </c>
      <c r="O30" s="6">
        <f t="shared" ca="1" si="1"/>
        <v>45456</v>
      </c>
      <c r="P30" s="2">
        <f t="shared" ca="1" si="2"/>
        <v>1</v>
      </c>
    </row>
    <row r="31" spans="1:16" x14ac:dyDescent="0.35">
      <c r="A31" s="2" t="s">
        <v>39</v>
      </c>
      <c r="B31" s="2">
        <v>2557241</v>
      </c>
      <c r="C31" s="2" t="s">
        <v>33</v>
      </c>
      <c r="D31" s="2" t="s">
        <v>21</v>
      </c>
      <c r="E31" s="2" t="s">
        <v>22</v>
      </c>
      <c r="F31" s="6" t="s">
        <v>92</v>
      </c>
      <c r="G31" s="6">
        <v>45449</v>
      </c>
      <c r="I31" s="2" t="s">
        <v>56</v>
      </c>
      <c r="L31" s="2" t="s">
        <v>57</v>
      </c>
      <c r="N31" s="2">
        <f t="shared" ca="1" si="0"/>
        <v>-6</v>
      </c>
      <c r="O31" s="6">
        <f t="shared" ca="1" si="1"/>
        <v>45456</v>
      </c>
      <c r="P31" s="2">
        <f t="shared" ca="1" si="2"/>
        <v>1</v>
      </c>
    </row>
    <row r="32" spans="1:16" x14ac:dyDescent="0.35">
      <c r="A32" s="2" t="s">
        <v>60</v>
      </c>
      <c r="B32" s="2">
        <v>2563623</v>
      </c>
      <c r="C32" s="2" t="s">
        <v>33</v>
      </c>
      <c r="D32" s="2" t="s">
        <v>21</v>
      </c>
      <c r="E32" s="2" t="s">
        <v>22</v>
      </c>
      <c r="F32" s="6" t="s">
        <v>58</v>
      </c>
      <c r="G32" s="6">
        <v>45449</v>
      </c>
      <c r="I32" s="2" t="s">
        <v>56</v>
      </c>
      <c r="L32" s="2" t="s">
        <v>57</v>
      </c>
      <c r="N32" s="2">
        <f t="shared" ca="1" si="0"/>
        <v>-6</v>
      </c>
      <c r="O32" s="6">
        <f t="shared" ca="1" si="1"/>
        <v>45456</v>
      </c>
      <c r="P32" s="2">
        <f t="shared" ca="1" si="2"/>
        <v>1</v>
      </c>
    </row>
    <row r="33" spans="1:16" x14ac:dyDescent="0.35">
      <c r="A33" s="2" t="s">
        <v>61</v>
      </c>
      <c r="B33" s="2">
        <v>2582874</v>
      </c>
      <c r="C33" s="2" t="s">
        <v>33</v>
      </c>
      <c r="D33" s="2" t="s">
        <v>309</v>
      </c>
      <c r="E33" s="2" t="s">
        <v>334</v>
      </c>
      <c r="F33" s="6" t="s">
        <v>333</v>
      </c>
      <c r="G33" s="6">
        <v>45418</v>
      </c>
      <c r="I33" s="2" t="s">
        <v>310</v>
      </c>
      <c r="L33" s="2" t="s">
        <v>335</v>
      </c>
      <c r="N33" s="2">
        <f t="shared" ca="1" si="0"/>
        <v>-29</v>
      </c>
      <c r="O33" s="6">
        <f t="shared" ca="1" si="1"/>
        <v>45456</v>
      </c>
      <c r="P33" s="2">
        <f t="shared" ca="1" si="2"/>
        <v>1</v>
      </c>
    </row>
    <row r="34" spans="1:16" x14ac:dyDescent="0.35">
      <c r="A34" s="2" t="s">
        <v>59</v>
      </c>
      <c r="B34" s="2">
        <v>2593666</v>
      </c>
      <c r="C34" s="2" t="s">
        <v>33</v>
      </c>
      <c r="D34" s="2" t="s">
        <v>309</v>
      </c>
      <c r="E34" s="2" t="s">
        <v>336</v>
      </c>
      <c r="F34" s="6" t="s">
        <v>337</v>
      </c>
      <c r="G34" s="6">
        <v>45418</v>
      </c>
      <c r="I34" s="2" t="s">
        <v>310</v>
      </c>
      <c r="L34" s="2" t="s">
        <v>338</v>
      </c>
      <c r="N34" s="2">
        <f t="shared" ca="1" si="0"/>
        <v>-29</v>
      </c>
      <c r="O34" s="6">
        <f t="shared" ca="1" si="1"/>
        <v>45456</v>
      </c>
      <c r="P34" s="2">
        <f t="shared" ca="1" si="2"/>
        <v>1</v>
      </c>
    </row>
    <row r="35" spans="1:16" x14ac:dyDescent="0.35">
      <c r="A35" s="2" t="s">
        <v>37</v>
      </c>
      <c r="B35" s="2">
        <v>2593675</v>
      </c>
      <c r="C35" s="2" t="s">
        <v>33</v>
      </c>
      <c r="D35" s="2" t="s">
        <v>309</v>
      </c>
      <c r="E35" s="2" t="s">
        <v>336</v>
      </c>
      <c r="F35" s="6" t="s">
        <v>337</v>
      </c>
      <c r="G35" s="6">
        <v>45418</v>
      </c>
      <c r="I35" s="2" t="s">
        <v>310</v>
      </c>
      <c r="L35" s="2" t="s">
        <v>339</v>
      </c>
      <c r="N35" s="2">
        <f t="shared" ca="1" si="0"/>
        <v>-29</v>
      </c>
      <c r="O35" s="6">
        <f t="shared" ca="1" si="1"/>
        <v>45456</v>
      </c>
      <c r="P35" s="2">
        <f t="shared" ca="1" si="2"/>
        <v>1</v>
      </c>
    </row>
    <row r="36" spans="1:16" x14ac:dyDescent="0.35">
      <c r="A36" s="2" t="s">
        <v>40</v>
      </c>
      <c r="B36" s="2">
        <v>2593677</v>
      </c>
      <c r="C36" s="2" t="s">
        <v>33</v>
      </c>
      <c r="D36" s="2" t="s">
        <v>309</v>
      </c>
      <c r="E36" s="2" t="s">
        <v>336</v>
      </c>
      <c r="F36" s="6" t="s">
        <v>337</v>
      </c>
      <c r="G36" s="6">
        <v>45449</v>
      </c>
      <c r="I36" s="2" t="s">
        <v>310</v>
      </c>
      <c r="L36" s="2" t="s">
        <v>340</v>
      </c>
      <c r="N36" s="2">
        <f t="shared" ca="1" si="0"/>
        <v>-6</v>
      </c>
      <c r="O36" s="6">
        <f t="shared" ca="1" si="1"/>
        <v>45456</v>
      </c>
      <c r="P36" s="2">
        <f t="shared" ca="1" si="2"/>
        <v>1</v>
      </c>
    </row>
    <row r="37" spans="1:16" x14ac:dyDescent="0.35">
      <c r="A37" s="2" t="s">
        <v>36</v>
      </c>
      <c r="B37" s="2">
        <v>2593679</v>
      </c>
      <c r="C37" s="2" t="s">
        <v>33</v>
      </c>
      <c r="D37" s="2" t="s">
        <v>309</v>
      </c>
      <c r="E37" s="2" t="s">
        <v>336</v>
      </c>
      <c r="F37" s="6" t="s">
        <v>337</v>
      </c>
      <c r="G37" s="6">
        <v>45449</v>
      </c>
      <c r="I37" s="2" t="s">
        <v>310</v>
      </c>
      <c r="L37" s="2" t="s">
        <v>341</v>
      </c>
      <c r="N37" s="2">
        <f t="shared" ca="1" si="0"/>
        <v>-6</v>
      </c>
      <c r="O37" s="6">
        <f t="shared" ca="1" si="1"/>
        <v>45456</v>
      </c>
      <c r="P37" s="2">
        <f t="shared" ca="1" si="2"/>
        <v>1</v>
      </c>
    </row>
    <row r="38" spans="1:16" x14ac:dyDescent="0.35">
      <c r="A38" s="2" t="s">
        <v>38</v>
      </c>
      <c r="B38" s="2">
        <v>2593682</v>
      </c>
      <c r="C38" s="2" t="s">
        <v>33</v>
      </c>
      <c r="D38" s="2" t="s">
        <v>309</v>
      </c>
      <c r="E38" s="2" t="s">
        <v>336</v>
      </c>
      <c r="F38" s="6" t="s">
        <v>337</v>
      </c>
      <c r="G38" s="6">
        <v>45449</v>
      </c>
      <c r="I38" s="2" t="s">
        <v>310</v>
      </c>
      <c r="L38" s="2" t="s">
        <v>342</v>
      </c>
      <c r="N38" s="2">
        <f t="shared" ca="1" si="0"/>
        <v>-6</v>
      </c>
      <c r="O38" s="6">
        <f t="shared" ca="1" si="1"/>
        <v>45456</v>
      </c>
      <c r="P38" s="2">
        <f t="shared" ca="1" si="2"/>
        <v>1</v>
      </c>
    </row>
    <row r="39" spans="1:16" x14ac:dyDescent="0.35">
      <c r="A39" s="2" t="s">
        <v>42</v>
      </c>
      <c r="B39" s="2">
        <v>2593683</v>
      </c>
      <c r="C39" s="2" t="s">
        <v>33</v>
      </c>
      <c r="D39" s="2" t="s">
        <v>309</v>
      </c>
      <c r="E39" s="2" t="s">
        <v>336</v>
      </c>
      <c r="F39" s="6" t="s">
        <v>337</v>
      </c>
      <c r="G39" s="6">
        <v>45449</v>
      </c>
      <c r="I39" s="2" t="s">
        <v>310</v>
      </c>
      <c r="L39" s="2" t="s">
        <v>343</v>
      </c>
      <c r="N39" s="2">
        <f t="shared" ca="1" si="0"/>
        <v>-6</v>
      </c>
      <c r="O39" s="6">
        <f t="shared" ca="1" si="1"/>
        <v>45456</v>
      </c>
      <c r="P39" s="2">
        <f t="shared" ca="1" si="2"/>
        <v>1</v>
      </c>
    </row>
    <row r="40" spans="1:16" x14ac:dyDescent="0.35">
      <c r="A40" s="2" t="s">
        <v>43</v>
      </c>
      <c r="B40" s="2">
        <v>2593684</v>
      </c>
      <c r="C40" s="2" t="s">
        <v>33</v>
      </c>
      <c r="D40" s="2" t="s">
        <v>309</v>
      </c>
      <c r="E40" s="2" t="s">
        <v>336</v>
      </c>
      <c r="F40" s="6" t="s">
        <v>337</v>
      </c>
      <c r="G40" s="6">
        <v>45449</v>
      </c>
      <c r="I40" s="2" t="s">
        <v>310</v>
      </c>
      <c r="L40" s="2" t="s">
        <v>344</v>
      </c>
      <c r="N40" s="2">
        <f t="shared" ca="1" si="0"/>
        <v>-6</v>
      </c>
      <c r="O40" s="6">
        <f t="shared" ca="1" si="1"/>
        <v>45456</v>
      </c>
      <c r="P40" s="2">
        <f t="shared" ca="1" si="2"/>
        <v>1</v>
      </c>
    </row>
    <row r="41" spans="1:16" x14ac:dyDescent="0.35">
      <c r="A41" s="2" t="s">
        <v>39</v>
      </c>
      <c r="B41" s="2">
        <v>2593685</v>
      </c>
      <c r="C41" s="2" t="s">
        <v>33</v>
      </c>
      <c r="D41" s="2" t="s">
        <v>309</v>
      </c>
      <c r="E41" s="2" t="s">
        <v>336</v>
      </c>
      <c r="F41" s="6" t="s">
        <v>337</v>
      </c>
      <c r="G41" s="6">
        <v>45449</v>
      </c>
      <c r="I41" s="2" t="s">
        <v>310</v>
      </c>
      <c r="L41" s="2" t="s">
        <v>345</v>
      </c>
      <c r="N41" s="2">
        <f t="shared" ca="1" si="0"/>
        <v>-6</v>
      </c>
      <c r="O41" s="6">
        <f t="shared" ca="1" si="1"/>
        <v>45456</v>
      </c>
      <c r="P41" s="2">
        <f t="shared" ca="1" si="2"/>
        <v>1</v>
      </c>
    </row>
    <row r="42" spans="1:16" x14ac:dyDescent="0.35">
      <c r="A42" s="2" t="s">
        <v>60</v>
      </c>
      <c r="B42" s="2">
        <v>2593686</v>
      </c>
      <c r="C42" s="2" t="s">
        <v>33</v>
      </c>
      <c r="D42" s="2" t="s">
        <v>309</v>
      </c>
      <c r="E42" s="2" t="s">
        <v>336</v>
      </c>
      <c r="F42" s="6" t="s">
        <v>337</v>
      </c>
      <c r="G42" s="6">
        <v>45449</v>
      </c>
      <c r="I42" s="2" t="s">
        <v>310</v>
      </c>
      <c r="L42" s="2" t="s">
        <v>346</v>
      </c>
      <c r="N42" s="2">
        <f t="shared" ca="1" si="0"/>
        <v>-6</v>
      </c>
      <c r="O42" s="6">
        <f t="shared" ca="1" si="1"/>
        <v>45456</v>
      </c>
      <c r="P42" s="2">
        <f t="shared" ca="1" si="2"/>
        <v>1</v>
      </c>
    </row>
    <row r="43" spans="1:16" x14ac:dyDescent="0.35">
      <c r="A43" s="2" t="s">
        <v>61</v>
      </c>
      <c r="B43" s="2">
        <v>2593690</v>
      </c>
      <c r="C43" s="2" t="s">
        <v>33</v>
      </c>
      <c r="D43" s="2" t="s">
        <v>309</v>
      </c>
      <c r="E43" s="2" t="s">
        <v>336</v>
      </c>
      <c r="F43" s="6" t="s">
        <v>337</v>
      </c>
      <c r="G43" s="6">
        <v>45449</v>
      </c>
      <c r="I43" s="2" t="s">
        <v>310</v>
      </c>
      <c r="L43" s="2" t="s">
        <v>347</v>
      </c>
      <c r="N43" s="2">
        <f t="shared" ca="1" si="0"/>
        <v>-6</v>
      </c>
      <c r="O43" s="6">
        <f t="shared" ca="1" si="1"/>
        <v>45456</v>
      </c>
      <c r="P43" s="2">
        <f t="shared" ca="1" si="2"/>
        <v>1</v>
      </c>
    </row>
    <row r="44" spans="1:16" x14ac:dyDescent="0.35">
      <c r="A44" s="2" t="s">
        <v>59</v>
      </c>
      <c r="B44" s="2">
        <v>2593692</v>
      </c>
      <c r="C44" s="2" t="s">
        <v>33</v>
      </c>
      <c r="D44" s="2" t="s">
        <v>309</v>
      </c>
      <c r="E44" s="2" t="s">
        <v>336</v>
      </c>
      <c r="F44" s="6" t="s">
        <v>337</v>
      </c>
      <c r="G44" s="6">
        <v>45449</v>
      </c>
      <c r="I44" s="2" t="s">
        <v>310</v>
      </c>
      <c r="L44" s="2" t="s">
        <v>348</v>
      </c>
      <c r="N44" s="2">
        <f t="shared" ca="1" si="0"/>
        <v>-6</v>
      </c>
      <c r="O44" s="6">
        <f t="shared" ca="1" si="1"/>
        <v>45456</v>
      </c>
      <c r="P44" s="2">
        <f t="shared" ca="1" si="2"/>
        <v>1</v>
      </c>
    </row>
    <row r="45" spans="1:16" x14ac:dyDescent="0.35">
      <c r="A45" s="2" t="s">
        <v>37</v>
      </c>
      <c r="B45" s="2">
        <v>2593694</v>
      </c>
      <c r="C45" s="2" t="s">
        <v>33</v>
      </c>
      <c r="D45" s="2" t="s">
        <v>309</v>
      </c>
      <c r="E45" s="2" t="s">
        <v>336</v>
      </c>
      <c r="F45" s="6" t="s">
        <v>337</v>
      </c>
      <c r="G45" s="6">
        <v>45449</v>
      </c>
      <c r="I45" s="2" t="s">
        <v>310</v>
      </c>
      <c r="L45" s="2" t="s">
        <v>349</v>
      </c>
      <c r="N45" s="2">
        <f t="shared" ca="1" si="0"/>
        <v>-6</v>
      </c>
      <c r="O45" s="6">
        <f t="shared" ca="1" si="1"/>
        <v>45456</v>
      </c>
      <c r="P45" s="2">
        <f t="shared" ca="1" si="2"/>
        <v>1</v>
      </c>
    </row>
    <row r="46" spans="1:16" x14ac:dyDescent="0.35">
      <c r="A46" s="2" t="s">
        <v>40</v>
      </c>
      <c r="B46" s="2">
        <v>2593695</v>
      </c>
      <c r="C46" s="2" t="s">
        <v>33</v>
      </c>
      <c r="D46" s="2" t="s">
        <v>309</v>
      </c>
      <c r="E46" s="2" t="s">
        <v>336</v>
      </c>
      <c r="F46" s="6" t="s">
        <v>337</v>
      </c>
      <c r="G46" s="6">
        <v>45418</v>
      </c>
      <c r="I46" s="2" t="s">
        <v>310</v>
      </c>
      <c r="L46" s="2" t="s">
        <v>350</v>
      </c>
      <c r="N46" s="2">
        <f t="shared" ca="1" si="0"/>
        <v>-29</v>
      </c>
      <c r="O46" s="6">
        <f t="shared" ca="1" si="1"/>
        <v>45456</v>
      </c>
      <c r="P46" s="2">
        <f t="shared" ca="1" si="2"/>
        <v>1</v>
      </c>
    </row>
    <row r="47" spans="1:16" x14ac:dyDescent="0.35">
      <c r="A47" s="2" t="s">
        <v>36</v>
      </c>
      <c r="B47" s="2">
        <v>2593696</v>
      </c>
      <c r="C47" s="2" t="s">
        <v>33</v>
      </c>
      <c r="D47" s="2" t="s">
        <v>309</v>
      </c>
      <c r="E47" s="2" t="s">
        <v>336</v>
      </c>
      <c r="F47" s="6" t="s">
        <v>337</v>
      </c>
      <c r="G47" s="6">
        <v>45418</v>
      </c>
      <c r="I47" s="2" t="s">
        <v>310</v>
      </c>
      <c r="L47" s="2" t="s">
        <v>351</v>
      </c>
      <c r="N47" s="2">
        <f t="shared" ca="1" si="0"/>
        <v>-29</v>
      </c>
      <c r="O47" s="6">
        <f t="shared" ca="1" si="1"/>
        <v>45456</v>
      </c>
      <c r="P47" s="2">
        <f t="shared" ca="1" si="2"/>
        <v>1</v>
      </c>
    </row>
    <row r="48" spans="1:16" x14ac:dyDescent="0.35">
      <c r="A48" s="2" t="s">
        <v>38</v>
      </c>
      <c r="B48" s="2">
        <v>2593698</v>
      </c>
      <c r="C48" s="2" t="s">
        <v>33</v>
      </c>
      <c r="D48" s="2" t="s">
        <v>309</v>
      </c>
      <c r="E48" s="2" t="s">
        <v>336</v>
      </c>
      <c r="F48" s="6" t="s">
        <v>337</v>
      </c>
      <c r="G48" s="6">
        <v>45418</v>
      </c>
      <c r="I48" s="2" t="s">
        <v>310</v>
      </c>
      <c r="L48" s="2" t="s">
        <v>352</v>
      </c>
      <c r="N48" s="2">
        <f t="shared" ca="1" si="0"/>
        <v>-29</v>
      </c>
      <c r="O48" s="6">
        <f t="shared" ca="1" si="1"/>
        <v>45456</v>
      </c>
      <c r="P48" s="2">
        <f t="shared" ca="1" si="2"/>
        <v>1</v>
      </c>
    </row>
    <row r="49" spans="1:16" x14ac:dyDescent="0.35">
      <c r="A49" s="2" t="s">
        <v>42</v>
      </c>
      <c r="B49" s="2">
        <v>2593699</v>
      </c>
      <c r="C49" s="2" t="s">
        <v>33</v>
      </c>
      <c r="D49" s="2" t="s">
        <v>309</v>
      </c>
      <c r="E49" s="2" t="s">
        <v>336</v>
      </c>
      <c r="F49" s="6" t="s">
        <v>337</v>
      </c>
      <c r="G49" s="6">
        <v>45418</v>
      </c>
      <c r="I49" s="2" t="s">
        <v>310</v>
      </c>
      <c r="L49" s="2" t="s">
        <v>353</v>
      </c>
      <c r="N49" s="2">
        <f t="shared" ca="1" si="0"/>
        <v>-29</v>
      </c>
      <c r="O49" s="6">
        <f t="shared" ca="1" si="1"/>
        <v>45456</v>
      </c>
      <c r="P49" s="2">
        <f t="shared" ca="1" si="2"/>
        <v>1</v>
      </c>
    </row>
    <row r="50" spans="1:16" x14ac:dyDescent="0.35">
      <c r="A50" s="2" t="s">
        <v>43</v>
      </c>
      <c r="B50" s="2">
        <v>2593702</v>
      </c>
      <c r="C50" s="2" t="s">
        <v>33</v>
      </c>
      <c r="D50" s="2" t="s">
        <v>309</v>
      </c>
      <c r="E50" s="2" t="s">
        <v>336</v>
      </c>
      <c r="F50" s="6" t="s">
        <v>337</v>
      </c>
      <c r="G50" s="6">
        <v>45418</v>
      </c>
      <c r="I50" s="2" t="s">
        <v>310</v>
      </c>
      <c r="L50" s="2" t="s">
        <v>354</v>
      </c>
      <c r="N50" s="2">
        <f t="shared" ca="1" si="0"/>
        <v>-29</v>
      </c>
      <c r="O50" s="6">
        <f t="shared" ca="1" si="1"/>
        <v>45456</v>
      </c>
      <c r="P50" s="2">
        <f t="shared" ca="1" si="2"/>
        <v>1</v>
      </c>
    </row>
    <row r="51" spans="1:16" x14ac:dyDescent="0.35">
      <c r="A51" s="2" t="s">
        <v>39</v>
      </c>
      <c r="B51" s="2">
        <v>2593705</v>
      </c>
      <c r="C51" s="2" t="s">
        <v>33</v>
      </c>
      <c r="D51" s="2" t="s">
        <v>309</v>
      </c>
      <c r="E51" s="2" t="s">
        <v>336</v>
      </c>
      <c r="F51" s="6" t="s">
        <v>337</v>
      </c>
      <c r="G51" s="6">
        <v>45418</v>
      </c>
      <c r="I51" s="2" t="s">
        <v>310</v>
      </c>
      <c r="L51" s="2" t="s">
        <v>355</v>
      </c>
      <c r="N51" s="2">
        <f t="shared" ca="1" si="0"/>
        <v>-29</v>
      </c>
      <c r="O51" s="6">
        <f t="shared" ca="1" si="1"/>
        <v>45456</v>
      </c>
      <c r="P51" s="2">
        <f t="shared" ca="1" si="2"/>
        <v>1</v>
      </c>
    </row>
    <row r="52" spans="1:16" x14ac:dyDescent="0.35">
      <c r="A52" s="2" t="s">
        <v>60</v>
      </c>
      <c r="B52" s="2">
        <v>2603419</v>
      </c>
      <c r="C52" s="2" t="s">
        <v>33</v>
      </c>
      <c r="D52" s="2" t="s">
        <v>309</v>
      </c>
      <c r="E52" s="2" t="s">
        <v>336</v>
      </c>
      <c r="F52" s="6" t="s">
        <v>133</v>
      </c>
      <c r="G52" s="6">
        <v>45418</v>
      </c>
      <c r="I52" s="2" t="s">
        <v>310</v>
      </c>
      <c r="L52" s="2" t="s">
        <v>358</v>
      </c>
      <c r="N52" s="2">
        <f t="shared" ca="1" si="0"/>
        <v>-29</v>
      </c>
      <c r="O52" s="6">
        <f t="shared" ca="1" si="1"/>
        <v>45456</v>
      </c>
      <c r="P52" s="2">
        <f t="shared" ca="1" si="2"/>
        <v>1</v>
      </c>
    </row>
    <row r="53" spans="1:16" x14ac:dyDescent="0.35">
      <c r="A53" s="2" t="s">
        <v>61</v>
      </c>
      <c r="B53" s="2">
        <v>2607704</v>
      </c>
      <c r="C53" s="2" t="s">
        <v>33</v>
      </c>
      <c r="D53" s="2" t="s">
        <v>309</v>
      </c>
      <c r="E53" s="2" t="s">
        <v>334</v>
      </c>
      <c r="F53" s="6" t="s">
        <v>131</v>
      </c>
      <c r="G53" s="6">
        <v>45418</v>
      </c>
      <c r="I53" s="2" t="s">
        <v>310</v>
      </c>
      <c r="L53" s="2" t="s">
        <v>359</v>
      </c>
      <c r="N53" s="2">
        <f t="shared" ca="1" si="0"/>
        <v>-29</v>
      </c>
      <c r="O53" s="6">
        <f t="shared" ca="1" si="1"/>
        <v>45456</v>
      </c>
      <c r="P53" s="2">
        <f t="shared" ca="1" si="2"/>
        <v>1</v>
      </c>
    </row>
    <row r="54" spans="1:16" x14ac:dyDescent="0.35">
      <c r="A54" s="2" t="s">
        <v>59</v>
      </c>
      <c r="B54" s="2">
        <v>2611145</v>
      </c>
      <c r="C54" s="2" t="s">
        <v>33</v>
      </c>
      <c r="D54" s="2" t="s">
        <v>21</v>
      </c>
      <c r="E54" s="2" t="s">
        <v>22</v>
      </c>
      <c r="F54" s="6" t="s">
        <v>98</v>
      </c>
      <c r="G54" s="6">
        <v>45449</v>
      </c>
      <c r="I54" s="2" t="s">
        <v>56</v>
      </c>
      <c r="L54" s="2" t="s">
        <v>57</v>
      </c>
      <c r="N54" s="2">
        <f t="shared" ca="1" si="0"/>
        <v>-6</v>
      </c>
      <c r="O54" s="6">
        <f t="shared" ca="1" si="1"/>
        <v>45456</v>
      </c>
      <c r="P54" s="2">
        <f t="shared" ca="1" si="2"/>
        <v>1</v>
      </c>
    </row>
    <row r="55" spans="1:16" x14ac:dyDescent="0.35">
      <c r="A55" s="2" t="s">
        <v>37</v>
      </c>
      <c r="B55" s="2">
        <v>2800513</v>
      </c>
      <c r="C55" s="2" t="s">
        <v>33</v>
      </c>
      <c r="D55" s="2" t="s">
        <v>21</v>
      </c>
      <c r="E55" s="2" t="s">
        <v>22</v>
      </c>
      <c r="F55" s="6" t="s">
        <v>95</v>
      </c>
      <c r="G55" s="6">
        <v>45449</v>
      </c>
      <c r="I55" s="2" t="s">
        <v>56</v>
      </c>
      <c r="L55" s="2" t="s">
        <v>57</v>
      </c>
      <c r="N55" s="2">
        <f t="shared" ca="1" si="0"/>
        <v>-6</v>
      </c>
      <c r="O55" s="6">
        <f t="shared" ca="1" si="1"/>
        <v>45456</v>
      </c>
      <c r="P55" s="2">
        <f t="shared" ca="1" si="2"/>
        <v>1</v>
      </c>
    </row>
    <row r="56" spans="1:16" x14ac:dyDescent="0.35">
      <c r="A56" s="2" t="s">
        <v>40</v>
      </c>
      <c r="B56" s="2">
        <v>2523668</v>
      </c>
      <c r="C56" s="2" t="s">
        <v>33</v>
      </c>
      <c r="D56" s="2" t="s">
        <v>445</v>
      </c>
      <c r="E56" s="2" t="s">
        <v>781</v>
      </c>
      <c r="F56" s="6" t="s">
        <v>783</v>
      </c>
      <c r="G56" s="6">
        <v>45355</v>
      </c>
      <c r="I56" s="2" t="s">
        <v>447</v>
      </c>
      <c r="L56" s="2" t="s">
        <v>782</v>
      </c>
      <c r="N56" s="2">
        <f t="shared" ca="1" si="0"/>
        <v>-74</v>
      </c>
      <c r="O56" s="6">
        <f t="shared" ca="1" si="1"/>
        <v>45456</v>
      </c>
      <c r="P56" s="2">
        <f t="shared" ca="1" si="2"/>
        <v>1</v>
      </c>
    </row>
    <row r="57" spans="1:16" x14ac:dyDescent="0.35">
      <c r="A57" s="2" t="s">
        <v>40</v>
      </c>
      <c r="B57" s="2">
        <v>780671</v>
      </c>
      <c r="C57" s="2">
        <v>360</v>
      </c>
      <c r="D57" s="2">
        <v>2880772</v>
      </c>
      <c r="E57" s="2" t="s">
        <v>113</v>
      </c>
      <c r="F57" s="6" t="s">
        <v>108</v>
      </c>
      <c r="G57" s="6" t="s">
        <v>213</v>
      </c>
      <c r="H57" s="2">
        <v>132173</v>
      </c>
      <c r="I57" s="2" t="s">
        <v>68</v>
      </c>
      <c r="J57" s="2">
        <v>18660</v>
      </c>
      <c r="K57" s="2">
        <v>1.0740099999999999</v>
      </c>
      <c r="L57" s="2" t="s">
        <v>76</v>
      </c>
      <c r="M57" s="2" t="s">
        <v>105</v>
      </c>
      <c r="N57" s="2">
        <f t="shared" ca="1" si="0"/>
        <v>12</v>
      </c>
      <c r="O57" s="6">
        <f t="shared" ca="1" si="1"/>
        <v>45456</v>
      </c>
      <c r="P57" s="2">
        <f t="shared" ca="1" si="2"/>
        <v>1</v>
      </c>
    </row>
    <row r="58" spans="1:16" x14ac:dyDescent="0.35">
      <c r="A58" s="2" t="s">
        <v>38</v>
      </c>
      <c r="B58" s="2">
        <v>780651</v>
      </c>
      <c r="C58" s="2">
        <v>360</v>
      </c>
      <c r="D58" s="2">
        <v>2890859</v>
      </c>
      <c r="E58" s="2" t="s">
        <v>233</v>
      </c>
      <c r="F58" s="6" t="s">
        <v>108</v>
      </c>
      <c r="G58" s="6" t="s">
        <v>216</v>
      </c>
      <c r="H58" s="2">
        <v>20397</v>
      </c>
      <c r="I58" s="2" t="s">
        <v>79</v>
      </c>
      <c r="J58" s="2">
        <v>1504.32</v>
      </c>
      <c r="K58" s="2">
        <v>1.0740099999999999</v>
      </c>
      <c r="L58" s="2" t="s">
        <v>76</v>
      </c>
      <c r="M58" s="2" t="s">
        <v>105</v>
      </c>
      <c r="N58" s="2">
        <f t="shared" ca="1" si="0"/>
        <v>12</v>
      </c>
      <c r="O58" s="6">
        <f t="shared" ca="1" si="1"/>
        <v>45456</v>
      </c>
      <c r="P58" s="2">
        <f t="shared" ca="1" si="2"/>
        <v>1</v>
      </c>
    </row>
    <row r="59" spans="1:16" x14ac:dyDescent="0.35">
      <c r="A59" s="2" t="s">
        <v>36</v>
      </c>
      <c r="B59" s="2">
        <v>780168</v>
      </c>
      <c r="C59" s="2">
        <v>360</v>
      </c>
      <c r="D59" s="2">
        <v>2890894</v>
      </c>
      <c r="E59" s="2" t="s">
        <v>540</v>
      </c>
      <c r="F59" s="6" t="s">
        <v>104</v>
      </c>
      <c r="G59" s="6" t="s">
        <v>541</v>
      </c>
      <c r="H59" s="2">
        <v>333041</v>
      </c>
      <c r="I59" s="2" t="s">
        <v>79</v>
      </c>
      <c r="J59" s="2">
        <v>522.29999999999995</v>
      </c>
      <c r="K59" s="2">
        <v>1.0740099999999999</v>
      </c>
      <c r="L59" s="2" t="s">
        <v>76</v>
      </c>
      <c r="M59" s="2" t="s">
        <v>105</v>
      </c>
      <c r="N59" s="2">
        <f t="shared" ca="1" si="0"/>
        <v>10</v>
      </c>
      <c r="O59" s="6">
        <f t="shared" ca="1" si="1"/>
        <v>45456</v>
      </c>
      <c r="P59" s="2">
        <f t="shared" ca="1" si="2"/>
        <v>1</v>
      </c>
    </row>
    <row r="60" spans="1:16" x14ac:dyDescent="0.35">
      <c r="A60" s="2" t="s">
        <v>40</v>
      </c>
      <c r="B60" s="2">
        <v>779111</v>
      </c>
      <c r="C60" s="2">
        <v>360</v>
      </c>
      <c r="D60" s="2">
        <v>2880705</v>
      </c>
      <c r="E60" s="2" t="s">
        <v>113</v>
      </c>
      <c r="F60" s="6" t="s">
        <v>114</v>
      </c>
      <c r="G60" s="6" t="s">
        <v>115</v>
      </c>
      <c r="H60" s="2">
        <v>132079</v>
      </c>
      <c r="I60" s="2" t="s">
        <v>416</v>
      </c>
      <c r="J60" s="2">
        <v>370</v>
      </c>
      <c r="K60" s="2">
        <v>1.0740099999999999</v>
      </c>
      <c r="L60" s="2" t="s">
        <v>76</v>
      </c>
      <c r="M60" s="2" t="s">
        <v>105</v>
      </c>
      <c r="N60" s="2">
        <f t="shared" ca="1" si="0"/>
        <v>8</v>
      </c>
      <c r="O60" s="6">
        <f t="shared" ca="1" si="1"/>
        <v>45456</v>
      </c>
      <c r="P60" s="2">
        <f t="shared" ca="1" si="2"/>
        <v>1</v>
      </c>
    </row>
    <row r="61" spans="1:16" x14ac:dyDescent="0.35">
      <c r="A61" s="2" t="s">
        <v>42</v>
      </c>
      <c r="B61" s="2">
        <v>778635</v>
      </c>
      <c r="C61" s="2">
        <v>360</v>
      </c>
      <c r="D61" s="2">
        <v>2858042</v>
      </c>
      <c r="E61" s="2" t="s">
        <v>542</v>
      </c>
      <c r="F61" s="6" t="s">
        <v>543</v>
      </c>
      <c r="G61" s="6" t="s">
        <v>71</v>
      </c>
      <c r="H61" s="2">
        <v>45706</v>
      </c>
      <c r="I61" s="2" t="s">
        <v>68</v>
      </c>
      <c r="J61" s="2">
        <v>28176.68</v>
      </c>
      <c r="K61" s="2">
        <v>1.0480100000000001</v>
      </c>
      <c r="L61" s="2" t="s">
        <v>76</v>
      </c>
      <c r="M61" s="2" t="s">
        <v>75</v>
      </c>
      <c r="N61" s="2">
        <f t="shared" ca="1" si="0"/>
        <v>2</v>
      </c>
      <c r="O61" s="6">
        <f t="shared" ca="1" si="1"/>
        <v>45456</v>
      </c>
      <c r="P61" s="2">
        <f t="shared" ca="1" si="2"/>
        <v>1</v>
      </c>
    </row>
    <row r="62" spans="1:16" x14ac:dyDescent="0.35">
      <c r="A62" s="2" t="s">
        <v>38</v>
      </c>
      <c r="B62" s="2">
        <v>777626</v>
      </c>
      <c r="C62" s="2">
        <v>360</v>
      </c>
      <c r="D62" s="2">
        <v>2874887</v>
      </c>
      <c r="E62" s="2" t="s">
        <v>118</v>
      </c>
      <c r="F62" s="6" t="s">
        <v>99</v>
      </c>
      <c r="G62" s="6" t="s">
        <v>117</v>
      </c>
      <c r="H62" s="2">
        <v>413656</v>
      </c>
      <c r="I62" s="2" t="s">
        <v>416</v>
      </c>
      <c r="J62" s="2">
        <v>948.53</v>
      </c>
      <c r="K62" s="2">
        <v>1.02901</v>
      </c>
      <c r="L62" s="2" t="s">
        <v>76</v>
      </c>
      <c r="M62" s="2" t="s">
        <v>119</v>
      </c>
      <c r="N62" s="2">
        <f t="shared" ca="1" si="0"/>
        <v>7</v>
      </c>
      <c r="O62" s="6">
        <f t="shared" ca="1" si="1"/>
        <v>45456</v>
      </c>
      <c r="P62" s="2">
        <f t="shared" ca="1" si="2"/>
        <v>1</v>
      </c>
    </row>
    <row r="63" spans="1:16" x14ac:dyDescent="0.35">
      <c r="A63" s="2" t="s">
        <v>38</v>
      </c>
      <c r="B63" s="2">
        <v>768243</v>
      </c>
      <c r="C63" s="2">
        <v>360</v>
      </c>
      <c r="D63" s="2">
        <v>2732654</v>
      </c>
      <c r="E63" s="2" t="s">
        <v>118</v>
      </c>
      <c r="F63" s="6" t="s">
        <v>126</v>
      </c>
      <c r="G63" s="6" t="s">
        <v>91</v>
      </c>
      <c r="H63" s="2">
        <v>412828</v>
      </c>
      <c r="I63" s="2" t="s">
        <v>416</v>
      </c>
      <c r="J63" s="2">
        <v>2117.4499999999998</v>
      </c>
      <c r="K63" s="2">
        <v>1.02901</v>
      </c>
      <c r="L63" s="2" t="s">
        <v>76</v>
      </c>
      <c r="M63" s="2" t="s">
        <v>119</v>
      </c>
      <c r="N63" s="2">
        <f t="shared" ca="1" si="0"/>
        <v>2</v>
      </c>
      <c r="O63" s="6">
        <f t="shared" ca="1" si="1"/>
        <v>45456</v>
      </c>
      <c r="P63" s="2">
        <f t="shared" ca="1" si="2"/>
        <v>1</v>
      </c>
    </row>
    <row r="64" spans="1:16" x14ac:dyDescent="0.35">
      <c r="A64" s="2" t="s">
        <v>40</v>
      </c>
      <c r="B64" s="2">
        <v>762092</v>
      </c>
      <c r="C64" s="2">
        <v>360</v>
      </c>
      <c r="D64" s="2">
        <v>2646937</v>
      </c>
      <c r="E64" s="2" t="s">
        <v>544</v>
      </c>
      <c r="F64" s="6" t="s">
        <v>128</v>
      </c>
      <c r="G64" s="6" t="s">
        <v>91</v>
      </c>
      <c r="H64" s="2">
        <v>524</v>
      </c>
      <c r="I64" s="2" t="s">
        <v>79</v>
      </c>
      <c r="J64" s="2">
        <v>616.32000000000005</v>
      </c>
      <c r="K64" s="2">
        <v>1.0900099999999999</v>
      </c>
      <c r="L64" s="2" t="s">
        <v>65</v>
      </c>
      <c r="M64" s="2" t="s">
        <v>72</v>
      </c>
      <c r="N64" s="2">
        <f t="shared" ca="1" si="0"/>
        <v>2</v>
      </c>
      <c r="O64" s="6">
        <f t="shared" ca="1" si="1"/>
        <v>45456</v>
      </c>
      <c r="P64" s="2">
        <f t="shared" ca="1" si="2"/>
        <v>1</v>
      </c>
    </row>
    <row r="65" spans="1:16" x14ac:dyDescent="0.35">
      <c r="A65" s="2" t="s">
        <v>38</v>
      </c>
      <c r="B65" s="2">
        <v>755697</v>
      </c>
      <c r="C65" s="2">
        <v>360</v>
      </c>
      <c r="D65" s="2">
        <v>2615220</v>
      </c>
      <c r="E65" s="2" t="s">
        <v>546</v>
      </c>
      <c r="F65" s="6" t="s">
        <v>106</v>
      </c>
      <c r="G65" s="6" t="s">
        <v>141</v>
      </c>
      <c r="H65" s="2">
        <v>413</v>
      </c>
      <c r="I65" s="2" t="s">
        <v>68</v>
      </c>
      <c r="J65" s="2">
        <v>16243.81</v>
      </c>
      <c r="K65" s="2">
        <v>1.0480100000000001</v>
      </c>
      <c r="L65" s="2" t="s">
        <v>65</v>
      </c>
      <c r="M65" s="2" t="s">
        <v>75</v>
      </c>
      <c r="N65" s="2">
        <f t="shared" ca="1" si="0"/>
        <v>1</v>
      </c>
      <c r="O65" s="6">
        <f t="shared" ca="1" si="1"/>
        <v>45456</v>
      </c>
      <c r="P65" s="2">
        <f t="shared" ca="1" si="2"/>
        <v>1</v>
      </c>
    </row>
    <row r="66" spans="1:16" x14ac:dyDescent="0.35">
      <c r="A66" s="2" t="s">
        <v>36</v>
      </c>
      <c r="B66" s="2">
        <v>751919</v>
      </c>
      <c r="C66" s="2">
        <v>360</v>
      </c>
      <c r="D66" s="2">
        <v>2606210</v>
      </c>
      <c r="E66" s="2" t="s">
        <v>421</v>
      </c>
      <c r="F66" s="6" t="s">
        <v>133</v>
      </c>
      <c r="G66" s="6" t="s">
        <v>122</v>
      </c>
      <c r="H66" s="2">
        <v>58194</v>
      </c>
      <c r="I66" s="2" t="s">
        <v>416</v>
      </c>
      <c r="J66" s="2">
        <v>26150</v>
      </c>
      <c r="K66" s="2">
        <v>1.0010399999999999</v>
      </c>
      <c r="L66" s="2" t="s">
        <v>65</v>
      </c>
      <c r="M66" s="2" t="s">
        <v>86</v>
      </c>
      <c r="N66" s="2">
        <f t="shared" ca="1" si="0"/>
        <v>6</v>
      </c>
      <c r="O66" s="6">
        <f t="shared" ca="1" si="1"/>
        <v>45456</v>
      </c>
      <c r="P66" s="2">
        <f t="shared" ca="1" si="2"/>
        <v>1</v>
      </c>
    </row>
    <row r="67" spans="1:16" x14ac:dyDescent="0.35">
      <c r="A67" s="2" t="s">
        <v>42</v>
      </c>
      <c r="B67" s="2">
        <v>749650</v>
      </c>
      <c r="C67" s="2">
        <v>360</v>
      </c>
      <c r="D67" s="2">
        <v>2598254</v>
      </c>
      <c r="E67" s="2" t="s">
        <v>549</v>
      </c>
      <c r="F67" s="6" t="s">
        <v>110</v>
      </c>
      <c r="G67" s="6" t="s">
        <v>122</v>
      </c>
      <c r="H67" s="2">
        <v>2483</v>
      </c>
      <c r="I67" s="2" t="s">
        <v>79</v>
      </c>
      <c r="J67" s="2">
        <v>4000</v>
      </c>
      <c r="K67" s="2">
        <v>1.0100100000000001</v>
      </c>
      <c r="L67" s="2" t="s">
        <v>65</v>
      </c>
      <c r="M67" s="2" t="s">
        <v>69</v>
      </c>
      <c r="N67" s="2">
        <f t="shared" ref="N67:N130" ca="1" si="3">IF(G67 &lt; TODAY(), -NETWORKDAYS(G67, TODAY()), NETWORKDAYS(TODAY(), G67))</f>
        <v>6</v>
      </c>
      <c r="O67" s="6">
        <f t="shared" ref="O67:O130" ca="1" si="4">TODAY()</f>
        <v>45456</v>
      </c>
      <c r="P67" s="2">
        <f t="shared" ref="P67:P130" ca="1" si="5">NETWORKDAYS(O67,TODAY())</f>
        <v>1</v>
      </c>
    </row>
    <row r="68" spans="1:16" x14ac:dyDescent="0.35">
      <c r="A68" s="2" t="s">
        <v>40</v>
      </c>
      <c r="B68" s="2">
        <v>748934</v>
      </c>
      <c r="C68" s="2">
        <v>360</v>
      </c>
      <c r="D68" s="2">
        <v>2598196</v>
      </c>
      <c r="E68" s="2" t="s">
        <v>550</v>
      </c>
      <c r="F68" s="6" t="s">
        <v>110</v>
      </c>
      <c r="G68" s="6" t="s">
        <v>71</v>
      </c>
      <c r="H68" s="2">
        <v>202423</v>
      </c>
      <c r="I68" s="2" t="s">
        <v>68</v>
      </c>
      <c r="J68" s="2">
        <v>96354.44</v>
      </c>
      <c r="K68" s="2">
        <v>1.0010399999999999</v>
      </c>
      <c r="L68" s="2" t="s">
        <v>65</v>
      </c>
      <c r="M68" s="2" t="s">
        <v>86</v>
      </c>
      <c r="N68" s="2">
        <f t="shared" ca="1" si="3"/>
        <v>2</v>
      </c>
      <c r="O68" s="6">
        <f t="shared" ca="1" si="4"/>
        <v>45456</v>
      </c>
      <c r="P68" s="2">
        <f t="shared" ca="1" si="5"/>
        <v>1</v>
      </c>
    </row>
    <row r="69" spans="1:16" x14ac:dyDescent="0.35">
      <c r="A69" s="2" t="s">
        <v>38</v>
      </c>
      <c r="B69" s="2">
        <v>791005</v>
      </c>
      <c r="C69" s="2">
        <v>360</v>
      </c>
      <c r="D69" s="2">
        <v>2892103</v>
      </c>
      <c r="E69" s="2" t="s">
        <v>553</v>
      </c>
      <c r="F69" s="6" t="s">
        <v>74</v>
      </c>
      <c r="G69" s="6" t="s">
        <v>141</v>
      </c>
      <c r="H69" s="2">
        <v>16</v>
      </c>
      <c r="I69" s="2" t="s">
        <v>79</v>
      </c>
      <c r="J69" s="2">
        <v>2860</v>
      </c>
      <c r="K69" s="2">
        <v>1.07701</v>
      </c>
      <c r="L69" s="2" t="s">
        <v>65</v>
      </c>
      <c r="M69" s="2" t="s">
        <v>132</v>
      </c>
      <c r="N69" s="2">
        <f t="shared" ca="1" si="3"/>
        <v>1</v>
      </c>
      <c r="O69" s="6">
        <f t="shared" ca="1" si="4"/>
        <v>45456</v>
      </c>
      <c r="P69" s="2">
        <f t="shared" ca="1" si="5"/>
        <v>1</v>
      </c>
    </row>
    <row r="70" spans="1:16" x14ac:dyDescent="0.35">
      <c r="A70" s="2" t="s">
        <v>36</v>
      </c>
      <c r="B70" s="2">
        <v>789146</v>
      </c>
      <c r="C70" s="2">
        <v>360</v>
      </c>
      <c r="D70" s="2">
        <v>2889138</v>
      </c>
      <c r="E70" s="2" t="s">
        <v>554</v>
      </c>
      <c r="F70" s="6" t="s">
        <v>124</v>
      </c>
      <c r="G70" s="6" t="s">
        <v>141</v>
      </c>
      <c r="H70" s="2">
        <v>20242352</v>
      </c>
      <c r="I70" s="2" t="s">
        <v>68</v>
      </c>
      <c r="J70" s="2">
        <v>2750</v>
      </c>
      <c r="K70" s="2">
        <v>1.01702</v>
      </c>
      <c r="L70" s="2" t="s">
        <v>65</v>
      </c>
      <c r="M70" s="2" t="s">
        <v>190</v>
      </c>
      <c r="N70" s="2">
        <f t="shared" ca="1" si="3"/>
        <v>1</v>
      </c>
      <c r="O70" s="6">
        <f t="shared" ca="1" si="4"/>
        <v>45456</v>
      </c>
      <c r="P70" s="2">
        <f t="shared" ca="1" si="5"/>
        <v>1</v>
      </c>
    </row>
    <row r="71" spans="1:16" x14ac:dyDescent="0.35">
      <c r="A71" s="2" t="s">
        <v>42</v>
      </c>
      <c r="B71" s="2">
        <v>790943</v>
      </c>
      <c r="C71" s="2">
        <v>360</v>
      </c>
      <c r="D71" s="2">
        <v>2891535</v>
      </c>
      <c r="E71" s="2" t="s">
        <v>555</v>
      </c>
      <c r="F71" s="6" t="s">
        <v>74</v>
      </c>
      <c r="G71" s="6" t="s">
        <v>91</v>
      </c>
      <c r="H71" s="2">
        <v>1934</v>
      </c>
      <c r="I71" s="2" t="s">
        <v>79</v>
      </c>
      <c r="J71" s="2">
        <v>2337.35</v>
      </c>
      <c r="K71" s="2">
        <v>1.1020099999999999</v>
      </c>
      <c r="L71" s="2" t="s">
        <v>65</v>
      </c>
      <c r="M71" s="2" t="s">
        <v>161</v>
      </c>
      <c r="N71" s="2">
        <f t="shared" ca="1" si="3"/>
        <v>2</v>
      </c>
      <c r="O71" s="6">
        <f t="shared" ca="1" si="4"/>
        <v>45456</v>
      </c>
      <c r="P71" s="2">
        <f t="shared" ca="1" si="5"/>
        <v>1</v>
      </c>
    </row>
    <row r="72" spans="1:16" x14ac:dyDescent="0.35">
      <c r="A72" s="2" t="s">
        <v>40</v>
      </c>
      <c r="B72" s="2">
        <v>790904</v>
      </c>
      <c r="C72" s="2">
        <v>360</v>
      </c>
      <c r="D72" s="2">
        <v>2891115</v>
      </c>
      <c r="E72" s="2" t="s">
        <v>556</v>
      </c>
      <c r="F72" s="6" t="s">
        <v>124</v>
      </c>
      <c r="G72" s="6" t="s">
        <v>91</v>
      </c>
      <c r="H72" s="2">
        <v>1493</v>
      </c>
      <c r="I72" s="2" t="s">
        <v>79</v>
      </c>
      <c r="J72" s="2">
        <v>1298.1400000000001</v>
      </c>
      <c r="K72" s="2">
        <v>1.06501</v>
      </c>
      <c r="L72" s="2" t="s">
        <v>65</v>
      </c>
      <c r="M72" s="2" t="s">
        <v>145</v>
      </c>
      <c r="N72" s="2">
        <f t="shared" ca="1" si="3"/>
        <v>2</v>
      </c>
      <c r="O72" s="6">
        <f t="shared" ca="1" si="4"/>
        <v>45456</v>
      </c>
      <c r="P72" s="2">
        <f t="shared" ca="1" si="5"/>
        <v>1</v>
      </c>
    </row>
    <row r="73" spans="1:16" x14ac:dyDescent="0.35">
      <c r="A73" s="2" t="s">
        <v>38</v>
      </c>
      <c r="B73" s="2">
        <v>789229</v>
      </c>
      <c r="C73" s="2">
        <v>360</v>
      </c>
      <c r="D73" s="2">
        <v>2889466</v>
      </c>
      <c r="E73" s="2" t="s">
        <v>466</v>
      </c>
      <c r="F73" s="6" t="s">
        <v>124</v>
      </c>
      <c r="G73" s="6" t="s">
        <v>91</v>
      </c>
      <c r="H73" s="2">
        <v>35274</v>
      </c>
      <c r="I73" s="2" t="s">
        <v>79</v>
      </c>
      <c r="J73" s="2">
        <v>3458</v>
      </c>
      <c r="K73" s="2">
        <v>1.0840099999999999</v>
      </c>
      <c r="L73" s="2" t="s">
        <v>65</v>
      </c>
      <c r="M73" s="2" t="s">
        <v>467</v>
      </c>
      <c r="N73" s="2">
        <f t="shared" ca="1" si="3"/>
        <v>2</v>
      </c>
      <c r="O73" s="6">
        <f t="shared" ca="1" si="4"/>
        <v>45456</v>
      </c>
      <c r="P73" s="2">
        <f t="shared" ca="1" si="5"/>
        <v>1</v>
      </c>
    </row>
    <row r="74" spans="1:16" x14ac:dyDescent="0.35">
      <c r="A74" s="2" t="s">
        <v>36</v>
      </c>
      <c r="B74" s="2">
        <v>788995</v>
      </c>
      <c r="C74" s="2">
        <v>360</v>
      </c>
      <c r="D74" s="2">
        <v>2888267</v>
      </c>
      <c r="E74" s="2" t="s">
        <v>229</v>
      </c>
      <c r="F74" s="6" t="s">
        <v>124</v>
      </c>
      <c r="G74" s="6" t="s">
        <v>230</v>
      </c>
      <c r="H74" s="2">
        <v>29795</v>
      </c>
      <c r="I74" s="2" t="s">
        <v>79</v>
      </c>
      <c r="J74" s="2">
        <v>1196.54</v>
      </c>
      <c r="K74" s="2">
        <v>1.01502</v>
      </c>
      <c r="L74" s="2" t="s">
        <v>65</v>
      </c>
      <c r="M74" s="2" t="s">
        <v>475</v>
      </c>
      <c r="N74" s="2">
        <f t="shared" ca="1" si="3"/>
        <v>14</v>
      </c>
      <c r="O74" s="6">
        <f t="shared" ca="1" si="4"/>
        <v>45456</v>
      </c>
      <c r="P74" s="2">
        <f t="shared" ca="1" si="5"/>
        <v>1</v>
      </c>
    </row>
    <row r="75" spans="1:16" x14ac:dyDescent="0.35">
      <c r="A75" s="2" t="s">
        <v>42</v>
      </c>
      <c r="B75" s="2">
        <v>788477</v>
      </c>
      <c r="C75" s="2">
        <v>360</v>
      </c>
      <c r="D75" s="2">
        <v>2886652</v>
      </c>
      <c r="E75" s="2" t="s">
        <v>559</v>
      </c>
      <c r="F75" s="6" t="s">
        <v>78</v>
      </c>
      <c r="G75" s="6" t="s">
        <v>91</v>
      </c>
      <c r="H75" s="2">
        <v>128172</v>
      </c>
      <c r="I75" s="2" t="s">
        <v>79</v>
      </c>
      <c r="J75" s="2">
        <v>557.80999999999995</v>
      </c>
      <c r="K75" s="2">
        <v>1.09701</v>
      </c>
      <c r="L75" s="2" t="s">
        <v>76</v>
      </c>
      <c r="M75" s="2" t="s">
        <v>417</v>
      </c>
      <c r="N75" s="2">
        <f t="shared" ca="1" si="3"/>
        <v>2</v>
      </c>
      <c r="O75" s="6">
        <f t="shared" ca="1" si="4"/>
        <v>45456</v>
      </c>
      <c r="P75" s="2">
        <f t="shared" ca="1" si="5"/>
        <v>1</v>
      </c>
    </row>
    <row r="76" spans="1:16" x14ac:dyDescent="0.35">
      <c r="A76" s="2" t="s">
        <v>40</v>
      </c>
      <c r="B76" s="2">
        <v>784466</v>
      </c>
      <c r="C76" s="2">
        <v>360</v>
      </c>
      <c r="D76" s="2">
        <v>2877914</v>
      </c>
      <c r="E76" s="2" t="s">
        <v>560</v>
      </c>
      <c r="F76" s="6" t="s">
        <v>139</v>
      </c>
      <c r="G76" s="6" t="s">
        <v>173</v>
      </c>
      <c r="H76" s="2">
        <v>4121</v>
      </c>
      <c r="I76" s="2" t="s">
        <v>68</v>
      </c>
      <c r="J76" s="2">
        <v>451.49</v>
      </c>
      <c r="K76" s="2">
        <v>1.05501</v>
      </c>
      <c r="L76" s="2" t="s">
        <v>65</v>
      </c>
      <c r="M76" s="2" t="s">
        <v>561</v>
      </c>
      <c r="N76" s="2">
        <f t="shared" ca="1" si="3"/>
        <v>9</v>
      </c>
      <c r="O76" s="6">
        <f t="shared" ca="1" si="4"/>
        <v>45456</v>
      </c>
      <c r="P76" s="2">
        <f t="shared" ca="1" si="5"/>
        <v>1</v>
      </c>
    </row>
    <row r="77" spans="1:16" x14ac:dyDescent="0.35">
      <c r="A77" s="2" t="s">
        <v>40</v>
      </c>
      <c r="B77" s="2">
        <v>784458</v>
      </c>
      <c r="C77" s="2">
        <v>360</v>
      </c>
      <c r="D77" s="2">
        <v>2878036</v>
      </c>
      <c r="E77" s="2" t="s">
        <v>560</v>
      </c>
      <c r="F77" s="6" t="s">
        <v>139</v>
      </c>
      <c r="G77" s="6" t="s">
        <v>188</v>
      </c>
      <c r="H77" s="2">
        <v>4120</v>
      </c>
      <c r="I77" s="2" t="s">
        <v>68</v>
      </c>
      <c r="J77" s="2">
        <v>190.5</v>
      </c>
      <c r="K77" s="2">
        <v>1.05501</v>
      </c>
      <c r="L77" s="2" t="s">
        <v>65</v>
      </c>
      <c r="M77" s="2" t="s">
        <v>561</v>
      </c>
      <c r="N77" s="2">
        <f t="shared" ca="1" si="3"/>
        <v>4</v>
      </c>
      <c r="O77" s="6">
        <f t="shared" ca="1" si="4"/>
        <v>45456</v>
      </c>
      <c r="P77" s="2">
        <f t="shared" ca="1" si="5"/>
        <v>1</v>
      </c>
    </row>
    <row r="78" spans="1:16" x14ac:dyDescent="0.35">
      <c r="A78" s="2" t="s">
        <v>40</v>
      </c>
      <c r="B78" s="2">
        <v>784455</v>
      </c>
      <c r="C78" s="2">
        <v>360</v>
      </c>
      <c r="D78" s="2">
        <v>2877868</v>
      </c>
      <c r="E78" s="2" t="s">
        <v>560</v>
      </c>
      <c r="F78" s="6" t="s">
        <v>139</v>
      </c>
      <c r="G78" s="6" t="s">
        <v>91</v>
      </c>
      <c r="H78" s="2">
        <v>4119</v>
      </c>
      <c r="I78" s="2" t="s">
        <v>68</v>
      </c>
      <c r="J78" s="2">
        <v>276.86</v>
      </c>
      <c r="K78" s="2">
        <v>1.05501</v>
      </c>
      <c r="L78" s="2" t="s">
        <v>65</v>
      </c>
      <c r="M78" s="2" t="s">
        <v>561</v>
      </c>
      <c r="N78" s="2">
        <f t="shared" ca="1" si="3"/>
        <v>2</v>
      </c>
      <c r="O78" s="6">
        <f t="shared" ca="1" si="4"/>
        <v>45456</v>
      </c>
      <c r="P78" s="2">
        <f t="shared" ca="1" si="5"/>
        <v>1</v>
      </c>
    </row>
    <row r="79" spans="1:16" x14ac:dyDescent="0.35">
      <c r="A79" s="2" t="s">
        <v>38</v>
      </c>
      <c r="B79" s="2">
        <v>783195</v>
      </c>
      <c r="C79" s="2">
        <v>360</v>
      </c>
      <c r="D79" s="2">
        <v>2876282</v>
      </c>
      <c r="E79" s="2" t="s">
        <v>160</v>
      </c>
      <c r="F79" s="6" t="s">
        <v>139</v>
      </c>
      <c r="G79" s="6" t="s">
        <v>91</v>
      </c>
      <c r="H79" s="2">
        <v>8136</v>
      </c>
      <c r="I79" s="2" t="s">
        <v>100</v>
      </c>
      <c r="J79" s="2">
        <v>1887</v>
      </c>
      <c r="K79" s="2">
        <v>1.07101</v>
      </c>
      <c r="L79" s="2" t="s">
        <v>65</v>
      </c>
      <c r="M79" s="2" t="s">
        <v>112</v>
      </c>
      <c r="N79" s="2">
        <f t="shared" ca="1" si="3"/>
        <v>2</v>
      </c>
      <c r="O79" s="6">
        <f t="shared" ca="1" si="4"/>
        <v>45456</v>
      </c>
      <c r="P79" s="2">
        <f t="shared" ca="1" si="5"/>
        <v>1</v>
      </c>
    </row>
    <row r="80" spans="1:16" x14ac:dyDescent="0.35">
      <c r="A80" s="2" t="s">
        <v>36</v>
      </c>
      <c r="B80" s="2">
        <v>782751</v>
      </c>
      <c r="C80" s="2">
        <v>360</v>
      </c>
      <c r="D80" s="2">
        <v>2874699</v>
      </c>
      <c r="E80" s="2" t="s">
        <v>162</v>
      </c>
      <c r="F80" s="6" t="s">
        <v>139</v>
      </c>
      <c r="G80" s="6" t="s">
        <v>91</v>
      </c>
      <c r="H80" s="2">
        <v>1342</v>
      </c>
      <c r="I80" s="2" t="s">
        <v>68</v>
      </c>
      <c r="J80" s="2">
        <v>1323</v>
      </c>
      <c r="K80" s="2">
        <v>1.04301</v>
      </c>
      <c r="L80" s="2" t="s">
        <v>76</v>
      </c>
      <c r="M80" s="2" t="s">
        <v>196</v>
      </c>
      <c r="N80" s="2">
        <f t="shared" ca="1" si="3"/>
        <v>2</v>
      </c>
      <c r="O80" s="6">
        <f t="shared" ca="1" si="4"/>
        <v>45456</v>
      </c>
      <c r="P80" s="2">
        <f t="shared" ca="1" si="5"/>
        <v>1</v>
      </c>
    </row>
    <row r="81" spans="1:16" x14ac:dyDescent="0.35">
      <c r="A81" s="2" t="s">
        <v>42</v>
      </c>
      <c r="B81" s="2">
        <v>782590</v>
      </c>
      <c r="C81" s="2">
        <v>360</v>
      </c>
      <c r="D81" s="2">
        <v>2874003</v>
      </c>
      <c r="E81" s="2" t="s">
        <v>562</v>
      </c>
      <c r="F81" s="6" t="s">
        <v>135</v>
      </c>
      <c r="G81" s="6" t="s">
        <v>91</v>
      </c>
      <c r="H81" s="2">
        <v>1335</v>
      </c>
      <c r="I81" s="2" t="s">
        <v>79</v>
      </c>
      <c r="J81" s="2">
        <v>2600</v>
      </c>
      <c r="K81" s="2">
        <v>1.0340100000000001</v>
      </c>
      <c r="L81" s="2" t="s">
        <v>65</v>
      </c>
      <c r="M81" s="2" t="s">
        <v>159</v>
      </c>
      <c r="N81" s="2">
        <f t="shared" ca="1" si="3"/>
        <v>2</v>
      </c>
      <c r="O81" s="6">
        <f t="shared" ca="1" si="4"/>
        <v>45456</v>
      </c>
      <c r="P81" s="2">
        <f t="shared" ca="1" si="5"/>
        <v>1</v>
      </c>
    </row>
    <row r="82" spans="1:16" x14ac:dyDescent="0.35">
      <c r="A82" s="2" t="s">
        <v>40</v>
      </c>
      <c r="B82" s="2">
        <v>781705</v>
      </c>
      <c r="C82" s="2">
        <v>360</v>
      </c>
      <c r="D82" s="2">
        <v>2872321</v>
      </c>
      <c r="E82" s="2" t="s">
        <v>563</v>
      </c>
      <c r="F82" s="6" t="s">
        <v>135</v>
      </c>
      <c r="G82" s="6" t="s">
        <v>91</v>
      </c>
      <c r="H82" s="2">
        <v>2423</v>
      </c>
      <c r="I82" s="2" t="s">
        <v>79</v>
      </c>
      <c r="J82" s="2">
        <v>165.6</v>
      </c>
      <c r="K82" s="2">
        <v>1.01502</v>
      </c>
      <c r="L82" s="2" t="s">
        <v>76</v>
      </c>
      <c r="M82" s="2" t="s">
        <v>475</v>
      </c>
      <c r="N82" s="2">
        <f t="shared" ca="1" si="3"/>
        <v>2</v>
      </c>
      <c r="O82" s="6">
        <f t="shared" ca="1" si="4"/>
        <v>45456</v>
      </c>
      <c r="P82" s="2">
        <f t="shared" ca="1" si="5"/>
        <v>1</v>
      </c>
    </row>
    <row r="83" spans="1:16" x14ac:dyDescent="0.35">
      <c r="A83" s="2" t="s">
        <v>38</v>
      </c>
      <c r="B83" s="2">
        <v>781687</v>
      </c>
      <c r="C83" s="2">
        <v>360</v>
      </c>
      <c r="D83" s="2">
        <v>2872159</v>
      </c>
      <c r="E83" s="2" t="s">
        <v>167</v>
      </c>
      <c r="F83" s="6" t="s">
        <v>135</v>
      </c>
      <c r="G83" s="6" t="s">
        <v>91</v>
      </c>
      <c r="H83" s="2">
        <v>20245</v>
      </c>
      <c r="I83" s="2" t="s">
        <v>123</v>
      </c>
      <c r="J83" s="2">
        <v>20207.88</v>
      </c>
      <c r="K83" s="2">
        <v>1.0010399999999999</v>
      </c>
      <c r="L83" s="2" t="s">
        <v>65</v>
      </c>
      <c r="M83" s="2" t="s">
        <v>86</v>
      </c>
      <c r="N83" s="2">
        <f t="shared" ca="1" si="3"/>
        <v>2</v>
      </c>
      <c r="O83" s="6">
        <f t="shared" ca="1" si="4"/>
        <v>45456</v>
      </c>
      <c r="P83" s="2">
        <f t="shared" ca="1" si="5"/>
        <v>1</v>
      </c>
    </row>
    <row r="84" spans="1:16" x14ac:dyDescent="0.35">
      <c r="A84" s="2" t="s">
        <v>36</v>
      </c>
      <c r="B84" s="2">
        <v>780866</v>
      </c>
      <c r="C84" s="2">
        <v>360</v>
      </c>
      <c r="D84" s="2">
        <v>2868730</v>
      </c>
      <c r="E84" s="2" t="s">
        <v>169</v>
      </c>
      <c r="F84" s="6" t="s">
        <v>111</v>
      </c>
      <c r="G84" s="6" t="s">
        <v>91</v>
      </c>
      <c r="H84" s="2">
        <v>9068761</v>
      </c>
      <c r="I84" s="2" t="s">
        <v>83</v>
      </c>
      <c r="J84" s="2">
        <v>755</v>
      </c>
      <c r="K84" s="2">
        <v>1.0480100000000001</v>
      </c>
      <c r="L84" s="2" t="s">
        <v>76</v>
      </c>
      <c r="M84" s="2" t="s">
        <v>75</v>
      </c>
      <c r="N84" s="2">
        <f t="shared" ca="1" si="3"/>
        <v>2</v>
      </c>
      <c r="O84" s="6">
        <f t="shared" ca="1" si="4"/>
        <v>45456</v>
      </c>
      <c r="P84" s="2">
        <f t="shared" ca="1" si="5"/>
        <v>1</v>
      </c>
    </row>
    <row r="85" spans="1:16" x14ac:dyDescent="0.35">
      <c r="A85" s="2" t="s">
        <v>42</v>
      </c>
      <c r="B85" s="2">
        <v>790958</v>
      </c>
      <c r="C85" s="2">
        <v>360</v>
      </c>
      <c r="D85" s="2">
        <v>2891515</v>
      </c>
      <c r="E85" s="2" t="s">
        <v>564</v>
      </c>
      <c r="F85" s="6" t="s">
        <v>74</v>
      </c>
      <c r="G85" s="6" t="s">
        <v>71</v>
      </c>
      <c r="H85" s="2">
        <v>7684</v>
      </c>
      <c r="I85" s="2" t="s">
        <v>68</v>
      </c>
      <c r="J85" s="2">
        <v>1044.0999999999999</v>
      </c>
      <c r="K85" s="2">
        <v>1.06501</v>
      </c>
      <c r="L85" s="2" t="s">
        <v>65</v>
      </c>
      <c r="M85" s="2" t="s">
        <v>145</v>
      </c>
      <c r="N85" s="2">
        <f t="shared" ca="1" si="3"/>
        <v>2</v>
      </c>
      <c r="O85" s="6">
        <f t="shared" ca="1" si="4"/>
        <v>45456</v>
      </c>
      <c r="P85" s="2">
        <f t="shared" ca="1" si="5"/>
        <v>1</v>
      </c>
    </row>
    <row r="86" spans="1:16" x14ac:dyDescent="0.35">
      <c r="A86" s="2" t="s">
        <v>40</v>
      </c>
      <c r="B86" s="2">
        <v>787501</v>
      </c>
      <c r="C86" s="2">
        <v>360</v>
      </c>
      <c r="D86" s="2">
        <v>2885730</v>
      </c>
      <c r="E86" s="2" t="s">
        <v>171</v>
      </c>
      <c r="F86" s="6" t="s">
        <v>78</v>
      </c>
      <c r="G86" s="6" t="s">
        <v>71</v>
      </c>
      <c r="H86" s="2">
        <v>59</v>
      </c>
      <c r="I86" s="2" t="s">
        <v>68</v>
      </c>
      <c r="J86" s="2">
        <v>18481.57</v>
      </c>
      <c r="K86" s="2">
        <v>1.0720099999999999</v>
      </c>
      <c r="L86" s="2" t="s">
        <v>65</v>
      </c>
      <c r="M86" s="2" t="s">
        <v>130</v>
      </c>
      <c r="N86" s="2">
        <f t="shared" ca="1" si="3"/>
        <v>2</v>
      </c>
      <c r="O86" s="6">
        <f t="shared" ca="1" si="4"/>
        <v>45456</v>
      </c>
      <c r="P86" s="2">
        <f t="shared" ca="1" si="5"/>
        <v>1</v>
      </c>
    </row>
    <row r="87" spans="1:16" x14ac:dyDescent="0.35">
      <c r="A87" s="2" t="s">
        <v>38</v>
      </c>
      <c r="B87" s="2">
        <v>784576</v>
      </c>
      <c r="C87" s="2">
        <v>360</v>
      </c>
      <c r="D87" s="2">
        <v>2878671</v>
      </c>
      <c r="E87" s="2" t="s">
        <v>565</v>
      </c>
      <c r="F87" s="6" t="s">
        <v>135</v>
      </c>
      <c r="G87" s="6" t="s">
        <v>71</v>
      </c>
      <c r="H87" s="2">
        <v>36284</v>
      </c>
      <c r="I87" s="2" t="s">
        <v>68</v>
      </c>
      <c r="J87" s="2">
        <v>7649.76</v>
      </c>
      <c r="K87" s="2">
        <v>1.07602</v>
      </c>
      <c r="L87" s="2" t="s">
        <v>65</v>
      </c>
      <c r="M87" s="2" t="s">
        <v>77</v>
      </c>
      <c r="N87" s="2">
        <f t="shared" ca="1" si="3"/>
        <v>2</v>
      </c>
      <c r="O87" s="6">
        <f t="shared" ca="1" si="4"/>
        <v>45456</v>
      </c>
      <c r="P87" s="2">
        <f t="shared" ca="1" si="5"/>
        <v>1</v>
      </c>
    </row>
    <row r="88" spans="1:16" x14ac:dyDescent="0.35">
      <c r="A88" s="2" t="s">
        <v>38</v>
      </c>
      <c r="B88" s="2">
        <v>784574</v>
      </c>
      <c r="C88" s="2">
        <v>360</v>
      </c>
      <c r="D88" s="2">
        <v>2878663</v>
      </c>
      <c r="E88" s="2" t="s">
        <v>565</v>
      </c>
      <c r="F88" s="6" t="s">
        <v>135</v>
      </c>
      <c r="G88" s="6" t="s">
        <v>71</v>
      </c>
      <c r="H88" s="2">
        <v>36283</v>
      </c>
      <c r="I88" s="2" t="s">
        <v>68</v>
      </c>
      <c r="J88" s="2">
        <v>843.23</v>
      </c>
      <c r="K88" s="2">
        <v>1.07602</v>
      </c>
      <c r="L88" s="2" t="s">
        <v>65</v>
      </c>
      <c r="M88" s="2" t="s">
        <v>77</v>
      </c>
      <c r="N88" s="2">
        <f t="shared" ca="1" si="3"/>
        <v>2</v>
      </c>
      <c r="O88" s="6">
        <f t="shared" ca="1" si="4"/>
        <v>45456</v>
      </c>
      <c r="P88" s="2">
        <f t="shared" ca="1" si="5"/>
        <v>1</v>
      </c>
    </row>
    <row r="89" spans="1:16" x14ac:dyDescent="0.35">
      <c r="A89" s="2" t="s">
        <v>38</v>
      </c>
      <c r="B89" s="2">
        <v>784572</v>
      </c>
      <c r="C89" s="2">
        <v>360</v>
      </c>
      <c r="D89" s="2">
        <v>2878655</v>
      </c>
      <c r="E89" s="2" t="s">
        <v>565</v>
      </c>
      <c r="F89" s="6" t="s">
        <v>135</v>
      </c>
      <c r="G89" s="6" t="s">
        <v>71</v>
      </c>
      <c r="H89" s="2">
        <v>36282</v>
      </c>
      <c r="I89" s="2" t="s">
        <v>68</v>
      </c>
      <c r="J89" s="2">
        <v>1431.7</v>
      </c>
      <c r="K89" s="2">
        <v>1.07602</v>
      </c>
      <c r="L89" s="2" t="s">
        <v>65</v>
      </c>
      <c r="M89" s="2" t="s">
        <v>77</v>
      </c>
      <c r="N89" s="2">
        <f t="shared" ca="1" si="3"/>
        <v>2</v>
      </c>
      <c r="O89" s="6">
        <f t="shared" ca="1" si="4"/>
        <v>45456</v>
      </c>
      <c r="P89" s="2">
        <f t="shared" ca="1" si="5"/>
        <v>1</v>
      </c>
    </row>
    <row r="90" spans="1:16" x14ac:dyDescent="0.35">
      <c r="A90" s="2" t="s">
        <v>38</v>
      </c>
      <c r="B90" s="2">
        <v>784565</v>
      </c>
      <c r="C90" s="2">
        <v>360</v>
      </c>
      <c r="D90" s="2">
        <v>2878799</v>
      </c>
      <c r="E90" s="2" t="s">
        <v>565</v>
      </c>
      <c r="F90" s="6" t="s">
        <v>135</v>
      </c>
      <c r="G90" s="6" t="s">
        <v>71</v>
      </c>
      <c r="H90" s="2">
        <v>35988</v>
      </c>
      <c r="I90" s="2" t="s">
        <v>68</v>
      </c>
      <c r="J90" s="2">
        <v>2163.9299999999998</v>
      </c>
      <c r="K90" s="2">
        <v>1.07701</v>
      </c>
      <c r="L90" s="2" t="s">
        <v>65</v>
      </c>
      <c r="M90" s="2" t="s">
        <v>132</v>
      </c>
      <c r="N90" s="2">
        <f t="shared" ca="1" si="3"/>
        <v>2</v>
      </c>
      <c r="O90" s="6">
        <f t="shared" ca="1" si="4"/>
        <v>45456</v>
      </c>
      <c r="P90" s="2">
        <f t="shared" ca="1" si="5"/>
        <v>1</v>
      </c>
    </row>
    <row r="91" spans="1:16" x14ac:dyDescent="0.35">
      <c r="A91" s="2" t="s">
        <v>36</v>
      </c>
      <c r="B91" s="2">
        <v>784469</v>
      </c>
      <c r="C91" s="2">
        <v>360</v>
      </c>
      <c r="D91" s="2">
        <v>2877919</v>
      </c>
      <c r="E91" s="2" t="s">
        <v>566</v>
      </c>
      <c r="F91" s="6" t="s">
        <v>139</v>
      </c>
      <c r="G91" s="6" t="s">
        <v>71</v>
      </c>
      <c r="H91" s="2">
        <v>1306</v>
      </c>
      <c r="I91" s="2" t="s">
        <v>79</v>
      </c>
      <c r="J91" s="2">
        <v>770</v>
      </c>
      <c r="K91" s="2">
        <v>1.07301</v>
      </c>
      <c r="L91" s="2" t="s">
        <v>65</v>
      </c>
      <c r="M91" s="2" t="s">
        <v>80</v>
      </c>
      <c r="N91" s="2">
        <f t="shared" ca="1" si="3"/>
        <v>2</v>
      </c>
      <c r="O91" s="6">
        <f t="shared" ca="1" si="4"/>
        <v>45456</v>
      </c>
      <c r="P91" s="2">
        <f t="shared" ca="1" si="5"/>
        <v>1</v>
      </c>
    </row>
    <row r="92" spans="1:16" x14ac:dyDescent="0.35">
      <c r="A92" s="2" t="s">
        <v>42</v>
      </c>
      <c r="B92" s="2">
        <v>781652</v>
      </c>
      <c r="C92" s="2">
        <v>360</v>
      </c>
      <c r="D92" s="2">
        <v>2871851</v>
      </c>
      <c r="E92" s="2" t="s">
        <v>567</v>
      </c>
      <c r="F92" s="6" t="s">
        <v>135</v>
      </c>
      <c r="G92" s="6" t="s">
        <v>71</v>
      </c>
      <c r="H92" s="2">
        <v>2939</v>
      </c>
      <c r="I92" s="2" t="s">
        <v>68</v>
      </c>
      <c r="J92" s="2">
        <v>1584.74</v>
      </c>
      <c r="K92" s="2">
        <v>1.07301</v>
      </c>
      <c r="L92" s="2" t="s">
        <v>65</v>
      </c>
      <c r="M92" s="2" t="s">
        <v>80</v>
      </c>
      <c r="N92" s="2">
        <f t="shared" ca="1" si="3"/>
        <v>2</v>
      </c>
      <c r="O92" s="6">
        <f t="shared" ca="1" si="4"/>
        <v>45456</v>
      </c>
      <c r="P92" s="2">
        <f t="shared" ca="1" si="5"/>
        <v>1</v>
      </c>
    </row>
    <row r="93" spans="1:16" x14ac:dyDescent="0.35">
      <c r="A93" s="2" t="s">
        <v>40</v>
      </c>
      <c r="B93" s="2">
        <v>781539</v>
      </c>
      <c r="C93" s="2">
        <v>360</v>
      </c>
      <c r="D93" s="2">
        <v>2871292</v>
      </c>
      <c r="E93" s="2" t="s">
        <v>423</v>
      </c>
      <c r="F93" s="6" t="s">
        <v>135</v>
      </c>
      <c r="G93" s="6" t="s">
        <v>71</v>
      </c>
      <c r="H93" s="2">
        <v>541436</v>
      </c>
      <c r="I93" s="2" t="s">
        <v>416</v>
      </c>
      <c r="J93" s="2">
        <v>31490.78</v>
      </c>
      <c r="K93" s="2">
        <v>1.0010399999999999</v>
      </c>
      <c r="L93" s="2" t="s">
        <v>65</v>
      </c>
      <c r="M93" s="2" t="s">
        <v>86</v>
      </c>
      <c r="N93" s="2">
        <f t="shared" ca="1" si="3"/>
        <v>2</v>
      </c>
      <c r="O93" s="6">
        <f t="shared" ca="1" si="4"/>
        <v>45456</v>
      </c>
      <c r="P93" s="2">
        <f t="shared" ca="1" si="5"/>
        <v>1</v>
      </c>
    </row>
    <row r="94" spans="1:16" x14ac:dyDescent="0.35">
      <c r="A94" s="2" t="s">
        <v>38</v>
      </c>
      <c r="B94" s="2">
        <v>781098</v>
      </c>
      <c r="C94" s="2">
        <v>360</v>
      </c>
      <c r="D94" s="2">
        <v>2869914</v>
      </c>
      <c r="E94" s="2" t="s">
        <v>177</v>
      </c>
      <c r="F94" s="6" t="s">
        <v>178</v>
      </c>
      <c r="G94" s="6" t="s">
        <v>71</v>
      </c>
      <c r="H94" s="2">
        <v>4417</v>
      </c>
      <c r="I94" s="2" t="s">
        <v>123</v>
      </c>
      <c r="J94" s="2">
        <v>4180</v>
      </c>
      <c r="K94" s="2">
        <v>1.0010399999999999</v>
      </c>
      <c r="L94" s="2" t="s">
        <v>65</v>
      </c>
      <c r="M94" s="2" t="s">
        <v>86</v>
      </c>
      <c r="N94" s="2">
        <f t="shared" ca="1" si="3"/>
        <v>2</v>
      </c>
      <c r="O94" s="6">
        <f t="shared" ca="1" si="4"/>
        <v>45456</v>
      </c>
      <c r="P94" s="2">
        <f t="shared" ca="1" si="5"/>
        <v>1</v>
      </c>
    </row>
    <row r="95" spans="1:16" x14ac:dyDescent="0.35">
      <c r="A95" s="2" t="s">
        <v>36</v>
      </c>
      <c r="B95" s="2">
        <v>781076</v>
      </c>
      <c r="C95" s="2">
        <v>360</v>
      </c>
      <c r="D95" s="2">
        <v>2869851</v>
      </c>
      <c r="E95" s="2" t="s">
        <v>168</v>
      </c>
      <c r="F95" s="6" t="s">
        <v>111</v>
      </c>
      <c r="G95" s="6" t="s">
        <v>71</v>
      </c>
      <c r="H95" s="2">
        <v>6935</v>
      </c>
      <c r="I95" s="2" t="s">
        <v>416</v>
      </c>
      <c r="J95" s="2">
        <v>1960</v>
      </c>
      <c r="K95" s="2">
        <v>1.02701</v>
      </c>
      <c r="L95" s="2" t="s">
        <v>65</v>
      </c>
      <c r="M95" s="2" t="s">
        <v>179</v>
      </c>
      <c r="N95" s="2">
        <f t="shared" ca="1" si="3"/>
        <v>2</v>
      </c>
      <c r="O95" s="6">
        <f t="shared" ca="1" si="4"/>
        <v>45456</v>
      </c>
      <c r="P95" s="2">
        <f t="shared" ca="1" si="5"/>
        <v>1</v>
      </c>
    </row>
    <row r="96" spans="1:16" x14ac:dyDescent="0.35">
      <c r="A96" s="2" t="s">
        <v>36</v>
      </c>
      <c r="B96" s="2">
        <v>781075</v>
      </c>
      <c r="C96" s="2">
        <v>360</v>
      </c>
      <c r="D96" s="2">
        <v>2869988</v>
      </c>
      <c r="E96" s="2" t="s">
        <v>168</v>
      </c>
      <c r="F96" s="6" t="s">
        <v>111</v>
      </c>
      <c r="G96" s="6" t="s">
        <v>71</v>
      </c>
      <c r="H96" s="2">
        <v>6937</v>
      </c>
      <c r="I96" s="2" t="s">
        <v>416</v>
      </c>
      <c r="J96" s="2">
        <v>1680</v>
      </c>
      <c r="K96" s="2">
        <v>1.00101</v>
      </c>
      <c r="L96" s="2" t="s">
        <v>65</v>
      </c>
      <c r="M96" s="2" t="s">
        <v>86</v>
      </c>
      <c r="N96" s="2">
        <f t="shared" ca="1" si="3"/>
        <v>2</v>
      </c>
      <c r="O96" s="6">
        <f t="shared" ca="1" si="4"/>
        <v>45456</v>
      </c>
      <c r="P96" s="2">
        <f t="shared" ca="1" si="5"/>
        <v>1</v>
      </c>
    </row>
    <row r="97" spans="1:16" x14ac:dyDescent="0.35">
      <c r="A97" s="2" t="s">
        <v>36</v>
      </c>
      <c r="B97" s="2">
        <v>781065</v>
      </c>
      <c r="C97" s="2">
        <v>360</v>
      </c>
      <c r="D97" s="2">
        <v>2869903</v>
      </c>
      <c r="E97" s="2" t="s">
        <v>168</v>
      </c>
      <c r="F97" s="6" t="s">
        <v>111</v>
      </c>
      <c r="G97" s="6" t="s">
        <v>71</v>
      </c>
      <c r="H97" s="2">
        <v>6940</v>
      </c>
      <c r="I97" s="2" t="s">
        <v>416</v>
      </c>
      <c r="J97" s="2">
        <v>18535</v>
      </c>
      <c r="K97" s="2">
        <v>1.02701</v>
      </c>
      <c r="L97" s="2" t="s">
        <v>65</v>
      </c>
      <c r="M97" s="2" t="s">
        <v>179</v>
      </c>
      <c r="N97" s="2">
        <f t="shared" ca="1" si="3"/>
        <v>2</v>
      </c>
      <c r="O97" s="6">
        <f t="shared" ca="1" si="4"/>
        <v>45456</v>
      </c>
      <c r="P97" s="2">
        <f t="shared" ca="1" si="5"/>
        <v>1</v>
      </c>
    </row>
    <row r="98" spans="1:16" x14ac:dyDescent="0.35">
      <c r="A98" s="2" t="s">
        <v>42</v>
      </c>
      <c r="B98" s="2">
        <v>790520</v>
      </c>
      <c r="C98" s="2">
        <v>360</v>
      </c>
      <c r="D98" s="2">
        <v>2890251</v>
      </c>
      <c r="E98" s="2" t="s">
        <v>559</v>
      </c>
      <c r="F98" s="6" t="s">
        <v>124</v>
      </c>
      <c r="G98" s="6" t="s">
        <v>67</v>
      </c>
      <c r="H98" s="2">
        <v>87807</v>
      </c>
      <c r="I98" s="2" t="s">
        <v>79</v>
      </c>
      <c r="J98" s="2">
        <v>817.35</v>
      </c>
      <c r="K98" s="2">
        <v>1.1000099999999999</v>
      </c>
      <c r="L98" s="2" t="s">
        <v>76</v>
      </c>
      <c r="M98" s="2" t="s">
        <v>217</v>
      </c>
      <c r="N98" s="2">
        <f t="shared" ca="1" si="3"/>
        <v>3</v>
      </c>
      <c r="O98" s="6">
        <f t="shared" ca="1" si="4"/>
        <v>45456</v>
      </c>
      <c r="P98" s="2">
        <f t="shared" ca="1" si="5"/>
        <v>1</v>
      </c>
    </row>
    <row r="99" spans="1:16" x14ac:dyDescent="0.35">
      <c r="A99" s="2" t="s">
        <v>42</v>
      </c>
      <c r="B99" s="2">
        <v>789626</v>
      </c>
      <c r="C99" s="2">
        <v>360</v>
      </c>
      <c r="D99" s="2">
        <v>2890176</v>
      </c>
      <c r="E99" s="2" t="s">
        <v>568</v>
      </c>
      <c r="F99" s="6" t="s">
        <v>124</v>
      </c>
      <c r="G99" s="6" t="s">
        <v>67</v>
      </c>
      <c r="H99" s="2">
        <v>1706</v>
      </c>
      <c r="I99" s="2" t="s">
        <v>68</v>
      </c>
      <c r="J99" s="2">
        <v>230.78</v>
      </c>
      <c r="K99" s="2">
        <v>1.0100100000000001</v>
      </c>
      <c r="L99" s="2" t="s">
        <v>76</v>
      </c>
      <c r="M99" s="2" t="s">
        <v>69</v>
      </c>
      <c r="N99" s="2">
        <f t="shared" ca="1" si="3"/>
        <v>3</v>
      </c>
      <c r="O99" s="6">
        <f t="shared" ca="1" si="4"/>
        <v>45456</v>
      </c>
      <c r="P99" s="2">
        <f t="shared" ca="1" si="5"/>
        <v>1</v>
      </c>
    </row>
    <row r="100" spans="1:16" x14ac:dyDescent="0.35">
      <c r="A100" s="2" t="s">
        <v>40</v>
      </c>
      <c r="B100" s="2">
        <v>787527</v>
      </c>
      <c r="C100" s="2">
        <v>360</v>
      </c>
      <c r="D100" s="2">
        <v>2885861</v>
      </c>
      <c r="E100" s="2" t="s">
        <v>569</v>
      </c>
      <c r="F100" s="6" t="s">
        <v>78</v>
      </c>
      <c r="G100" s="6" t="s">
        <v>67</v>
      </c>
      <c r="H100" s="2">
        <v>28604</v>
      </c>
      <c r="I100" s="2" t="s">
        <v>68</v>
      </c>
      <c r="J100" s="2">
        <v>200</v>
      </c>
      <c r="K100" s="2">
        <v>1.0010399999999999</v>
      </c>
      <c r="L100" s="2" t="s">
        <v>65</v>
      </c>
      <c r="M100" s="2" t="s">
        <v>86</v>
      </c>
      <c r="N100" s="2">
        <f t="shared" ca="1" si="3"/>
        <v>3</v>
      </c>
      <c r="O100" s="6">
        <f t="shared" ca="1" si="4"/>
        <v>45456</v>
      </c>
      <c r="P100" s="2">
        <f t="shared" ca="1" si="5"/>
        <v>1</v>
      </c>
    </row>
    <row r="101" spans="1:16" x14ac:dyDescent="0.35">
      <c r="A101" s="2" t="s">
        <v>38</v>
      </c>
      <c r="B101" s="2">
        <v>787031</v>
      </c>
      <c r="C101" s="2">
        <v>360</v>
      </c>
      <c r="D101" s="2">
        <v>2882860</v>
      </c>
      <c r="E101" s="2" t="s">
        <v>570</v>
      </c>
      <c r="F101" s="6" t="s">
        <v>116</v>
      </c>
      <c r="G101" s="6" t="s">
        <v>67</v>
      </c>
      <c r="H101" s="2">
        <v>8452</v>
      </c>
      <c r="I101" s="2" t="s">
        <v>79</v>
      </c>
      <c r="J101" s="2">
        <v>4889.5</v>
      </c>
      <c r="K101" s="2">
        <v>1.10301</v>
      </c>
      <c r="L101" s="2" t="s">
        <v>76</v>
      </c>
      <c r="M101" s="2" t="s">
        <v>444</v>
      </c>
      <c r="N101" s="2">
        <f t="shared" ca="1" si="3"/>
        <v>3</v>
      </c>
      <c r="O101" s="6">
        <f t="shared" ca="1" si="4"/>
        <v>45456</v>
      </c>
      <c r="P101" s="2">
        <f t="shared" ca="1" si="5"/>
        <v>1</v>
      </c>
    </row>
    <row r="102" spans="1:16" x14ac:dyDescent="0.35">
      <c r="A102" s="2" t="s">
        <v>36</v>
      </c>
      <c r="B102" s="2">
        <v>786567</v>
      </c>
      <c r="C102" s="2">
        <v>360</v>
      </c>
      <c r="D102" s="2">
        <v>2882824</v>
      </c>
      <c r="E102" s="2" t="s">
        <v>571</v>
      </c>
      <c r="F102" s="6" t="s">
        <v>116</v>
      </c>
      <c r="G102" s="6" t="s">
        <v>67</v>
      </c>
      <c r="H102" s="2">
        <v>20932</v>
      </c>
      <c r="I102" s="2" t="s">
        <v>79</v>
      </c>
      <c r="J102" s="2">
        <v>535.96</v>
      </c>
      <c r="K102" s="2">
        <v>1.05501</v>
      </c>
      <c r="L102" s="2" t="s">
        <v>76</v>
      </c>
      <c r="M102" s="2" t="s">
        <v>561</v>
      </c>
      <c r="N102" s="2">
        <f t="shared" ca="1" si="3"/>
        <v>3</v>
      </c>
      <c r="O102" s="6">
        <f t="shared" ca="1" si="4"/>
        <v>45456</v>
      </c>
      <c r="P102" s="2">
        <f t="shared" ca="1" si="5"/>
        <v>1</v>
      </c>
    </row>
    <row r="103" spans="1:16" x14ac:dyDescent="0.35">
      <c r="A103" s="2" t="s">
        <v>42</v>
      </c>
      <c r="B103" s="2">
        <v>784681</v>
      </c>
      <c r="C103" s="2">
        <v>360</v>
      </c>
      <c r="D103" s="2">
        <v>2879511</v>
      </c>
      <c r="E103" s="2" t="s">
        <v>572</v>
      </c>
      <c r="F103" s="6" t="s">
        <v>129</v>
      </c>
      <c r="G103" s="6" t="s">
        <v>67</v>
      </c>
      <c r="H103" s="2">
        <v>8292</v>
      </c>
      <c r="I103" s="2" t="s">
        <v>79</v>
      </c>
      <c r="J103" s="2">
        <v>4444.3</v>
      </c>
      <c r="K103" s="2">
        <v>1.0480100000000001</v>
      </c>
      <c r="L103" s="2" t="s">
        <v>76</v>
      </c>
      <c r="M103" s="2" t="s">
        <v>75</v>
      </c>
      <c r="N103" s="2">
        <f t="shared" ca="1" si="3"/>
        <v>3</v>
      </c>
      <c r="O103" s="6">
        <f t="shared" ca="1" si="4"/>
        <v>45456</v>
      </c>
      <c r="P103" s="2">
        <f t="shared" ca="1" si="5"/>
        <v>1</v>
      </c>
    </row>
    <row r="104" spans="1:16" x14ac:dyDescent="0.35">
      <c r="A104" s="2" t="s">
        <v>40</v>
      </c>
      <c r="B104" s="2">
        <v>782932</v>
      </c>
      <c r="C104" s="2">
        <v>360</v>
      </c>
      <c r="D104" s="2">
        <v>2875198</v>
      </c>
      <c r="E104" s="2" t="s">
        <v>183</v>
      </c>
      <c r="F104" s="6" t="s">
        <v>139</v>
      </c>
      <c r="G104" s="6" t="s">
        <v>67</v>
      </c>
      <c r="H104" s="2">
        <v>1120907</v>
      </c>
      <c r="I104" s="2" t="s">
        <v>79</v>
      </c>
      <c r="J104" s="2">
        <v>4010</v>
      </c>
      <c r="K104" s="2">
        <v>1.0100100000000001</v>
      </c>
      <c r="L104" s="2" t="s">
        <v>65</v>
      </c>
      <c r="M104" s="2" t="s">
        <v>69</v>
      </c>
      <c r="N104" s="2">
        <f t="shared" ca="1" si="3"/>
        <v>3</v>
      </c>
      <c r="O104" s="6">
        <f t="shared" ca="1" si="4"/>
        <v>45456</v>
      </c>
      <c r="P104" s="2">
        <f t="shared" ca="1" si="5"/>
        <v>1</v>
      </c>
    </row>
    <row r="105" spans="1:16" x14ac:dyDescent="0.35">
      <c r="A105" s="2" t="s">
        <v>38</v>
      </c>
      <c r="B105" s="2">
        <v>780929</v>
      </c>
      <c r="C105" s="2">
        <v>360</v>
      </c>
      <c r="D105" s="2">
        <v>2869255</v>
      </c>
      <c r="E105" s="2" t="s">
        <v>144</v>
      </c>
      <c r="F105" s="6" t="s">
        <v>108</v>
      </c>
      <c r="G105" s="6" t="s">
        <v>67</v>
      </c>
      <c r="H105" s="2">
        <v>103443</v>
      </c>
      <c r="I105" s="2" t="s">
        <v>79</v>
      </c>
      <c r="J105" s="2">
        <v>8600</v>
      </c>
      <c r="K105" s="2">
        <v>1.03901</v>
      </c>
      <c r="L105" s="2" t="s">
        <v>143</v>
      </c>
      <c r="M105" s="2" t="s">
        <v>186</v>
      </c>
      <c r="N105" s="2">
        <f t="shared" ca="1" si="3"/>
        <v>3</v>
      </c>
      <c r="O105" s="6">
        <f t="shared" ca="1" si="4"/>
        <v>45456</v>
      </c>
      <c r="P105" s="2">
        <f t="shared" ca="1" si="5"/>
        <v>1</v>
      </c>
    </row>
    <row r="106" spans="1:16" x14ac:dyDescent="0.35">
      <c r="A106" s="2" t="s">
        <v>38</v>
      </c>
      <c r="B106" s="2">
        <v>780928</v>
      </c>
      <c r="C106" s="2">
        <v>360</v>
      </c>
      <c r="D106" s="2">
        <v>2869252</v>
      </c>
      <c r="E106" s="2" t="s">
        <v>144</v>
      </c>
      <c r="F106" s="6" t="s">
        <v>108</v>
      </c>
      <c r="G106" s="6" t="s">
        <v>67</v>
      </c>
      <c r="H106" s="2">
        <v>103441</v>
      </c>
      <c r="I106" s="2" t="s">
        <v>79</v>
      </c>
      <c r="J106" s="2">
        <v>6036</v>
      </c>
      <c r="K106" s="2">
        <v>1.03901</v>
      </c>
      <c r="L106" s="2" t="s">
        <v>143</v>
      </c>
      <c r="M106" s="2" t="s">
        <v>186</v>
      </c>
      <c r="N106" s="2">
        <f t="shared" ca="1" si="3"/>
        <v>3</v>
      </c>
      <c r="O106" s="6">
        <f t="shared" ca="1" si="4"/>
        <v>45456</v>
      </c>
      <c r="P106" s="2">
        <f t="shared" ca="1" si="5"/>
        <v>1</v>
      </c>
    </row>
    <row r="107" spans="1:16" x14ac:dyDescent="0.35">
      <c r="A107" s="2" t="s">
        <v>38</v>
      </c>
      <c r="B107" s="2">
        <v>780927</v>
      </c>
      <c r="C107" s="2">
        <v>360</v>
      </c>
      <c r="D107" s="2">
        <v>2869254</v>
      </c>
      <c r="E107" s="2" t="s">
        <v>144</v>
      </c>
      <c r="F107" s="6" t="s">
        <v>108</v>
      </c>
      <c r="G107" s="6" t="s">
        <v>67</v>
      </c>
      <c r="H107" s="2">
        <v>103445</v>
      </c>
      <c r="I107" s="2" t="s">
        <v>79</v>
      </c>
      <c r="J107" s="2">
        <v>4607</v>
      </c>
      <c r="K107" s="2">
        <v>1.03901</v>
      </c>
      <c r="L107" s="2" t="s">
        <v>143</v>
      </c>
      <c r="M107" s="2" t="s">
        <v>186</v>
      </c>
      <c r="N107" s="2">
        <f t="shared" ca="1" si="3"/>
        <v>3</v>
      </c>
      <c r="O107" s="6">
        <f t="shared" ca="1" si="4"/>
        <v>45456</v>
      </c>
      <c r="P107" s="2">
        <f t="shared" ca="1" si="5"/>
        <v>1</v>
      </c>
    </row>
    <row r="108" spans="1:16" x14ac:dyDescent="0.35">
      <c r="A108" s="2" t="s">
        <v>38</v>
      </c>
      <c r="B108" s="2">
        <v>780926</v>
      </c>
      <c r="C108" s="2">
        <v>360</v>
      </c>
      <c r="D108" s="2">
        <v>2869248</v>
      </c>
      <c r="E108" s="2" t="s">
        <v>144</v>
      </c>
      <c r="F108" s="6" t="s">
        <v>108</v>
      </c>
      <c r="G108" s="6" t="s">
        <v>67</v>
      </c>
      <c r="H108" s="2">
        <v>103442</v>
      </c>
      <c r="I108" s="2" t="s">
        <v>79</v>
      </c>
      <c r="J108" s="2">
        <v>2085</v>
      </c>
      <c r="K108" s="2">
        <v>1.03901</v>
      </c>
      <c r="L108" s="2" t="s">
        <v>143</v>
      </c>
      <c r="M108" s="2" t="s">
        <v>186</v>
      </c>
      <c r="N108" s="2">
        <f t="shared" ca="1" si="3"/>
        <v>3</v>
      </c>
      <c r="O108" s="6">
        <f t="shared" ca="1" si="4"/>
        <v>45456</v>
      </c>
      <c r="P108" s="2">
        <f t="shared" ca="1" si="5"/>
        <v>1</v>
      </c>
    </row>
    <row r="109" spans="1:16" x14ac:dyDescent="0.35">
      <c r="A109" s="2" t="s">
        <v>38</v>
      </c>
      <c r="B109" s="2">
        <v>780925</v>
      </c>
      <c r="C109" s="2">
        <v>360</v>
      </c>
      <c r="D109" s="2">
        <v>2869285</v>
      </c>
      <c r="E109" s="2" t="s">
        <v>144</v>
      </c>
      <c r="F109" s="6" t="s">
        <v>108</v>
      </c>
      <c r="G109" s="6" t="s">
        <v>67</v>
      </c>
      <c r="H109" s="2">
        <v>103439</v>
      </c>
      <c r="I109" s="2" t="s">
        <v>79</v>
      </c>
      <c r="J109" s="2">
        <v>8791</v>
      </c>
      <c r="K109" s="2">
        <v>1.03901</v>
      </c>
      <c r="L109" s="2" t="s">
        <v>143</v>
      </c>
      <c r="M109" s="2" t="s">
        <v>186</v>
      </c>
      <c r="N109" s="2">
        <f t="shared" ca="1" si="3"/>
        <v>3</v>
      </c>
      <c r="O109" s="6">
        <f t="shared" ca="1" si="4"/>
        <v>45456</v>
      </c>
      <c r="P109" s="2">
        <f t="shared" ca="1" si="5"/>
        <v>1</v>
      </c>
    </row>
    <row r="110" spans="1:16" x14ac:dyDescent="0.35">
      <c r="A110" s="2" t="s">
        <v>38</v>
      </c>
      <c r="B110" s="2">
        <v>780924</v>
      </c>
      <c r="C110" s="2">
        <v>360</v>
      </c>
      <c r="D110" s="2">
        <v>2869245</v>
      </c>
      <c r="E110" s="2" t="s">
        <v>144</v>
      </c>
      <c r="F110" s="6" t="s">
        <v>108</v>
      </c>
      <c r="G110" s="6" t="s">
        <v>67</v>
      </c>
      <c r="H110" s="2">
        <v>103435</v>
      </c>
      <c r="I110" s="2" t="s">
        <v>79</v>
      </c>
      <c r="J110" s="2">
        <v>447</v>
      </c>
      <c r="K110" s="2">
        <v>1.03901</v>
      </c>
      <c r="L110" s="2" t="s">
        <v>143</v>
      </c>
      <c r="M110" s="2" t="s">
        <v>186</v>
      </c>
      <c r="N110" s="2">
        <f t="shared" ca="1" si="3"/>
        <v>3</v>
      </c>
      <c r="O110" s="6">
        <f t="shared" ca="1" si="4"/>
        <v>45456</v>
      </c>
      <c r="P110" s="2">
        <f t="shared" ca="1" si="5"/>
        <v>1</v>
      </c>
    </row>
    <row r="111" spans="1:16" x14ac:dyDescent="0.35">
      <c r="A111" s="2" t="s">
        <v>38</v>
      </c>
      <c r="B111" s="2">
        <v>780923</v>
      </c>
      <c r="C111" s="2">
        <v>360</v>
      </c>
      <c r="D111" s="2">
        <v>2869236</v>
      </c>
      <c r="E111" s="2" t="s">
        <v>144</v>
      </c>
      <c r="F111" s="6" t="s">
        <v>108</v>
      </c>
      <c r="G111" s="6" t="s">
        <v>67</v>
      </c>
      <c r="H111" s="2">
        <v>103434</v>
      </c>
      <c r="I111" s="2" t="s">
        <v>79</v>
      </c>
      <c r="J111" s="2">
        <v>297</v>
      </c>
      <c r="K111" s="2">
        <v>1.03901</v>
      </c>
      <c r="L111" s="2" t="s">
        <v>143</v>
      </c>
      <c r="M111" s="2" t="s">
        <v>186</v>
      </c>
      <c r="N111" s="2">
        <f t="shared" ca="1" si="3"/>
        <v>3</v>
      </c>
      <c r="O111" s="6">
        <f t="shared" ca="1" si="4"/>
        <v>45456</v>
      </c>
      <c r="P111" s="2">
        <f t="shared" ca="1" si="5"/>
        <v>1</v>
      </c>
    </row>
    <row r="112" spans="1:16" x14ac:dyDescent="0.35">
      <c r="A112" s="2" t="s">
        <v>38</v>
      </c>
      <c r="B112" s="2">
        <v>780921</v>
      </c>
      <c r="C112" s="2">
        <v>360</v>
      </c>
      <c r="D112" s="2">
        <v>2869237</v>
      </c>
      <c r="E112" s="2" t="s">
        <v>144</v>
      </c>
      <c r="F112" s="6" t="s">
        <v>108</v>
      </c>
      <c r="G112" s="6" t="s">
        <v>67</v>
      </c>
      <c r="H112" s="2">
        <v>103437</v>
      </c>
      <c r="I112" s="2" t="s">
        <v>79</v>
      </c>
      <c r="J112" s="2">
        <v>2285</v>
      </c>
      <c r="K112" s="2">
        <v>1.03901</v>
      </c>
      <c r="L112" s="2" t="s">
        <v>143</v>
      </c>
      <c r="M112" s="2" t="s">
        <v>186</v>
      </c>
      <c r="N112" s="2">
        <f t="shared" ca="1" si="3"/>
        <v>3</v>
      </c>
      <c r="O112" s="6">
        <f t="shared" ca="1" si="4"/>
        <v>45456</v>
      </c>
      <c r="P112" s="2">
        <f t="shared" ca="1" si="5"/>
        <v>1</v>
      </c>
    </row>
    <row r="113" spans="1:16" x14ac:dyDescent="0.35">
      <c r="A113" s="2" t="s">
        <v>38</v>
      </c>
      <c r="B113" s="2">
        <v>780920</v>
      </c>
      <c r="C113" s="2">
        <v>360</v>
      </c>
      <c r="D113" s="2">
        <v>2869240</v>
      </c>
      <c r="E113" s="2" t="s">
        <v>144</v>
      </c>
      <c r="F113" s="6" t="s">
        <v>108</v>
      </c>
      <c r="G113" s="6" t="s">
        <v>67</v>
      </c>
      <c r="H113" s="2">
        <v>103440</v>
      </c>
      <c r="I113" s="2" t="s">
        <v>79</v>
      </c>
      <c r="J113" s="2">
        <v>5300</v>
      </c>
      <c r="K113" s="2">
        <v>1.03901</v>
      </c>
      <c r="L113" s="2" t="s">
        <v>143</v>
      </c>
      <c r="M113" s="2" t="s">
        <v>186</v>
      </c>
      <c r="N113" s="2">
        <f t="shared" ca="1" si="3"/>
        <v>3</v>
      </c>
      <c r="O113" s="6">
        <f t="shared" ca="1" si="4"/>
        <v>45456</v>
      </c>
      <c r="P113" s="2">
        <f t="shared" ca="1" si="5"/>
        <v>1</v>
      </c>
    </row>
    <row r="114" spans="1:16" x14ac:dyDescent="0.35">
      <c r="A114" s="2" t="s">
        <v>38</v>
      </c>
      <c r="B114" s="2">
        <v>780918</v>
      </c>
      <c r="C114" s="2">
        <v>360</v>
      </c>
      <c r="D114" s="2">
        <v>2869234</v>
      </c>
      <c r="E114" s="2" t="s">
        <v>144</v>
      </c>
      <c r="F114" s="6" t="s">
        <v>108</v>
      </c>
      <c r="G114" s="6" t="s">
        <v>67</v>
      </c>
      <c r="H114" s="2">
        <v>103433</v>
      </c>
      <c r="I114" s="2" t="s">
        <v>79</v>
      </c>
      <c r="J114" s="2">
        <v>3870</v>
      </c>
      <c r="K114" s="2">
        <v>1.03901</v>
      </c>
      <c r="L114" s="2" t="s">
        <v>143</v>
      </c>
      <c r="M114" s="2" t="s">
        <v>186</v>
      </c>
      <c r="N114" s="2">
        <f t="shared" ca="1" si="3"/>
        <v>3</v>
      </c>
      <c r="O114" s="6">
        <f t="shared" ca="1" si="4"/>
        <v>45456</v>
      </c>
      <c r="P114" s="2">
        <f t="shared" ca="1" si="5"/>
        <v>1</v>
      </c>
    </row>
    <row r="115" spans="1:16" x14ac:dyDescent="0.35">
      <c r="A115" s="2" t="s">
        <v>38</v>
      </c>
      <c r="B115" s="2">
        <v>780915</v>
      </c>
      <c r="C115" s="2">
        <v>360</v>
      </c>
      <c r="D115" s="2">
        <v>2869233</v>
      </c>
      <c r="E115" s="2" t="s">
        <v>144</v>
      </c>
      <c r="F115" s="6" t="s">
        <v>108</v>
      </c>
      <c r="G115" s="6" t="s">
        <v>67</v>
      </c>
      <c r="H115" s="2">
        <v>103432</v>
      </c>
      <c r="I115" s="2" t="s">
        <v>79</v>
      </c>
      <c r="J115" s="2">
        <v>2097</v>
      </c>
      <c r="K115" s="2">
        <v>1.03901</v>
      </c>
      <c r="L115" s="2" t="s">
        <v>143</v>
      </c>
      <c r="M115" s="2" t="s">
        <v>186</v>
      </c>
      <c r="N115" s="2">
        <f t="shared" ca="1" si="3"/>
        <v>3</v>
      </c>
      <c r="O115" s="6">
        <f t="shared" ca="1" si="4"/>
        <v>45456</v>
      </c>
      <c r="P115" s="2">
        <f t="shared" ca="1" si="5"/>
        <v>1</v>
      </c>
    </row>
    <row r="116" spans="1:16" x14ac:dyDescent="0.35">
      <c r="A116" s="2" t="s">
        <v>38</v>
      </c>
      <c r="B116" s="2">
        <v>780914</v>
      </c>
      <c r="C116" s="2">
        <v>360</v>
      </c>
      <c r="D116" s="2">
        <v>2869238</v>
      </c>
      <c r="E116" s="2" t="s">
        <v>144</v>
      </c>
      <c r="F116" s="6" t="s">
        <v>108</v>
      </c>
      <c r="G116" s="6" t="s">
        <v>67</v>
      </c>
      <c r="H116" s="2">
        <v>103438</v>
      </c>
      <c r="I116" s="2" t="s">
        <v>79</v>
      </c>
      <c r="J116" s="2">
        <v>554</v>
      </c>
      <c r="K116" s="2">
        <v>1.03901</v>
      </c>
      <c r="L116" s="2" t="s">
        <v>143</v>
      </c>
      <c r="M116" s="2" t="s">
        <v>186</v>
      </c>
      <c r="N116" s="2">
        <f t="shared" ca="1" si="3"/>
        <v>3</v>
      </c>
      <c r="O116" s="6">
        <f t="shared" ca="1" si="4"/>
        <v>45456</v>
      </c>
      <c r="P116" s="2">
        <f t="shared" ca="1" si="5"/>
        <v>1</v>
      </c>
    </row>
    <row r="117" spans="1:16" x14ac:dyDescent="0.35">
      <c r="A117" s="2" t="s">
        <v>38</v>
      </c>
      <c r="B117" s="2">
        <v>780910</v>
      </c>
      <c r="C117" s="2">
        <v>360</v>
      </c>
      <c r="D117" s="2">
        <v>2869239</v>
      </c>
      <c r="E117" s="2" t="s">
        <v>144</v>
      </c>
      <c r="F117" s="6" t="s">
        <v>108</v>
      </c>
      <c r="G117" s="6" t="s">
        <v>67</v>
      </c>
      <c r="H117" s="2">
        <v>103430</v>
      </c>
      <c r="I117" s="2" t="s">
        <v>79</v>
      </c>
      <c r="J117" s="2">
        <v>427</v>
      </c>
      <c r="K117" s="2">
        <v>1.03901</v>
      </c>
      <c r="L117" s="2" t="s">
        <v>143</v>
      </c>
      <c r="M117" s="2" t="s">
        <v>186</v>
      </c>
      <c r="N117" s="2">
        <f t="shared" ca="1" si="3"/>
        <v>3</v>
      </c>
      <c r="O117" s="6">
        <f t="shared" ca="1" si="4"/>
        <v>45456</v>
      </c>
      <c r="P117" s="2">
        <f t="shared" ca="1" si="5"/>
        <v>1</v>
      </c>
    </row>
    <row r="118" spans="1:16" x14ac:dyDescent="0.35">
      <c r="A118" s="2" t="s">
        <v>38</v>
      </c>
      <c r="B118" s="2">
        <v>790921</v>
      </c>
      <c r="C118" s="2">
        <v>360</v>
      </c>
      <c r="D118" s="2">
        <v>2891355</v>
      </c>
      <c r="E118" s="2" t="s">
        <v>73</v>
      </c>
      <c r="F118" s="6" t="s">
        <v>124</v>
      </c>
      <c r="G118" s="6" t="s">
        <v>188</v>
      </c>
      <c r="H118" s="2">
        <v>2532</v>
      </c>
      <c r="I118" s="2" t="s">
        <v>68</v>
      </c>
      <c r="J118" s="2">
        <v>326.18</v>
      </c>
      <c r="K118" s="2">
        <v>1.05701</v>
      </c>
      <c r="L118" s="2" t="s">
        <v>65</v>
      </c>
      <c r="M118" s="2" t="s">
        <v>203</v>
      </c>
      <c r="N118" s="2">
        <f t="shared" ca="1" si="3"/>
        <v>4</v>
      </c>
      <c r="O118" s="6">
        <f t="shared" ca="1" si="4"/>
        <v>45456</v>
      </c>
      <c r="P118" s="2">
        <f t="shared" ca="1" si="5"/>
        <v>1</v>
      </c>
    </row>
    <row r="119" spans="1:16" x14ac:dyDescent="0.35">
      <c r="A119" s="2" t="s">
        <v>38</v>
      </c>
      <c r="B119" s="2">
        <v>790919</v>
      </c>
      <c r="C119" s="2">
        <v>360</v>
      </c>
      <c r="D119" s="2">
        <v>2891345</v>
      </c>
      <c r="E119" s="2" t="s">
        <v>73</v>
      </c>
      <c r="F119" s="6" t="s">
        <v>124</v>
      </c>
      <c r="G119" s="6" t="s">
        <v>188</v>
      </c>
      <c r="H119" s="2">
        <v>2534</v>
      </c>
      <c r="I119" s="2" t="s">
        <v>68</v>
      </c>
      <c r="J119" s="2">
        <v>12000</v>
      </c>
      <c r="K119" s="2">
        <v>1.0820099999999999</v>
      </c>
      <c r="L119" s="2" t="s">
        <v>65</v>
      </c>
      <c r="M119" s="2" t="s">
        <v>181</v>
      </c>
      <c r="N119" s="2">
        <f t="shared" ca="1" si="3"/>
        <v>4</v>
      </c>
      <c r="O119" s="6">
        <f t="shared" ca="1" si="4"/>
        <v>45456</v>
      </c>
      <c r="P119" s="2">
        <f t="shared" ca="1" si="5"/>
        <v>1</v>
      </c>
    </row>
    <row r="120" spans="1:16" x14ac:dyDescent="0.35">
      <c r="A120" s="2" t="s">
        <v>38</v>
      </c>
      <c r="B120" s="2">
        <v>790918</v>
      </c>
      <c r="C120" s="2">
        <v>360</v>
      </c>
      <c r="D120" s="2">
        <v>2891339</v>
      </c>
      <c r="E120" s="2" t="s">
        <v>73</v>
      </c>
      <c r="F120" s="6" t="s">
        <v>124</v>
      </c>
      <c r="G120" s="6" t="s">
        <v>188</v>
      </c>
      <c r="H120" s="2">
        <v>2535</v>
      </c>
      <c r="I120" s="2" t="s">
        <v>68</v>
      </c>
      <c r="J120" s="2">
        <v>400</v>
      </c>
      <c r="K120" s="2">
        <v>1.0820099999999999</v>
      </c>
      <c r="L120" s="2" t="s">
        <v>65</v>
      </c>
      <c r="M120" s="2" t="s">
        <v>181</v>
      </c>
      <c r="N120" s="2">
        <f t="shared" ca="1" si="3"/>
        <v>4</v>
      </c>
      <c r="O120" s="6">
        <f t="shared" ca="1" si="4"/>
        <v>45456</v>
      </c>
      <c r="P120" s="2">
        <f t="shared" ca="1" si="5"/>
        <v>1</v>
      </c>
    </row>
    <row r="121" spans="1:16" x14ac:dyDescent="0.35">
      <c r="A121" s="2" t="s">
        <v>36</v>
      </c>
      <c r="B121" s="2">
        <v>788317</v>
      </c>
      <c r="C121" s="2">
        <v>360</v>
      </c>
      <c r="D121" s="2">
        <v>2886649</v>
      </c>
      <c r="E121" s="2" t="s">
        <v>573</v>
      </c>
      <c r="F121" s="6" t="s">
        <v>78</v>
      </c>
      <c r="G121" s="6" t="s">
        <v>188</v>
      </c>
      <c r="H121" s="2">
        <v>3783</v>
      </c>
      <c r="I121" s="2" t="s">
        <v>79</v>
      </c>
      <c r="J121" s="2">
        <v>90.1</v>
      </c>
      <c r="K121" s="2">
        <v>1.0860099999999999</v>
      </c>
      <c r="L121" s="2" t="s">
        <v>76</v>
      </c>
      <c r="M121" s="2" t="s">
        <v>151</v>
      </c>
      <c r="N121" s="2">
        <f t="shared" ca="1" si="3"/>
        <v>4</v>
      </c>
      <c r="O121" s="6">
        <f t="shared" ca="1" si="4"/>
        <v>45456</v>
      </c>
      <c r="P121" s="2">
        <f t="shared" ca="1" si="5"/>
        <v>1</v>
      </c>
    </row>
    <row r="122" spans="1:16" x14ac:dyDescent="0.35">
      <c r="A122" s="2" t="s">
        <v>42</v>
      </c>
      <c r="B122" s="2">
        <v>787467</v>
      </c>
      <c r="C122" s="2">
        <v>360</v>
      </c>
      <c r="D122" s="2">
        <v>2885396</v>
      </c>
      <c r="E122" s="2" t="s">
        <v>424</v>
      </c>
      <c r="F122" s="6" t="s">
        <v>78</v>
      </c>
      <c r="G122" s="6" t="s">
        <v>188</v>
      </c>
      <c r="H122" s="2">
        <v>5540</v>
      </c>
      <c r="I122" s="2" t="s">
        <v>68</v>
      </c>
      <c r="J122" s="2">
        <v>250</v>
      </c>
      <c r="K122" s="2">
        <v>1.0720099999999999</v>
      </c>
      <c r="L122" s="2" t="s">
        <v>65</v>
      </c>
      <c r="M122" s="2" t="s">
        <v>130</v>
      </c>
      <c r="N122" s="2">
        <f t="shared" ca="1" si="3"/>
        <v>4</v>
      </c>
      <c r="O122" s="6">
        <f t="shared" ca="1" si="4"/>
        <v>45456</v>
      </c>
      <c r="P122" s="2">
        <f t="shared" ca="1" si="5"/>
        <v>1</v>
      </c>
    </row>
    <row r="123" spans="1:16" x14ac:dyDescent="0.35">
      <c r="A123" s="2" t="s">
        <v>40</v>
      </c>
      <c r="B123" s="2">
        <v>786097</v>
      </c>
      <c r="C123" s="2">
        <v>360</v>
      </c>
      <c r="D123" s="2">
        <v>2882440</v>
      </c>
      <c r="E123" s="2" t="s">
        <v>187</v>
      </c>
      <c r="F123" s="6" t="s">
        <v>116</v>
      </c>
      <c r="G123" s="6" t="s">
        <v>188</v>
      </c>
      <c r="H123" s="2">
        <v>5822</v>
      </c>
      <c r="I123" s="2" t="s">
        <v>68</v>
      </c>
      <c r="J123" s="2">
        <v>1600.24</v>
      </c>
      <c r="K123" s="2">
        <v>1.0900099999999999</v>
      </c>
      <c r="L123" s="2" t="s">
        <v>65</v>
      </c>
      <c r="M123" s="2" t="s">
        <v>72</v>
      </c>
      <c r="N123" s="2">
        <f t="shared" ca="1" si="3"/>
        <v>4</v>
      </c>
      <c r="O123" s="6">
        <f t="shared" ca="1" si="4"/>
        <v>45456</v>
      </c>
      <c r="P123" s="2">
        <f t="shared" ca="1" si="5"/>
        <v>1</v>
      </c>
    </row>
    <row r="124" spans="1:16" x14ac:dyDescent="0.35">
      <c r="A124" s="2" t="s">
        <v>40</v>
      </c>
      <c r="B124" s="2">
        <v>786095</v>
      </c>
      <c r="C124" s="2">
        <v>360</v>
      </c>
      <c r="D124" s="2">
        <v>2882317</v>
      </c>
      <c r="E124" s="2" t="s">
        <v>187</v>
      </c>
      <c r="F124" s="6" t="s">
        <v>116</v>
      </c>
      <c r="G124" s="6" t="s">
        <v>188</v>
      </c>
      <c r="H124" s="2">
        <v>5755</v>
      </c>
      <c r="I124" s="2" t="s">
        <v>68</v>
      </c>
      <c r="J124" s="2">
        <v>139.84</v>
      </c>
      <c r="K124" s="2">
        <v>1.0900099999999999</v>
      </c>
      <c r="L124" s="2" t="s">
        <v>65</v>
      </c>
      <c r="M124" s="2" t="s">
        <v>72</v>
      </c>
      <c r="N124" s="2">
        <f t="shared" ca="1" si="3"/>
        <v>4</v>
      </c>
      <c r="O124" s="6">
        <f t="shared" ca="1" si="4"/>
        <v>45456</v>
      </c>
      <c r="P124" s="2">
        <f t="shared" ca="1" si="5"/>
        <v>1</v>
      </c>
    </row>
    <row r="125" spans="1:16" x14ac:dyDescent="0.35">
      <c r="A125" s="2" t="s">
        <v>38</v>
      </c>
      <c r="B125" s="2">
        <v>786094</v>
      </c>
      <c r="C125" s="2">
        <v>360</v>
      </c>
      <c r="D125" s="2">
        <v>2882318</v>
      </c>
      <c r="E125" s="2" t="s">
        <v>468</v>
      </c>
      <c r="F125" s="6" t="s">
        <v>135</v>
      </c>
      <c r="G125" s="6" t="s">
        <v>188</v>
      </c>
      <c r="H125" s="2">
        <v>3115</v>
      </c>
      <c r="I125" s="2" t="s">
        <v>68</v>
      </c>
      <c r="J125" s="2">
        <v>2300</v>
      </c>
      <c r="K125" s="2">
        <v>1.05802</v>
      </c>
      <c r="L125" s="2" t="s">
        <v>65</v>
      </c>
      <c r="M125" s="2" t="s">
        <v>469</v>
      </c>
      <c r="N125" s="2">
        <f t="shared" ca="1" si="3"/>
        <v>4</v>
      </c>
      <c r="O125" s="6">
        <f t="shared" ca="1" si="4"/>
        <v>45456</v>
      </c>
      <c r="P125" s="2">
        <f t="shared" ca="1" si="5"/>
        <v>1</v>
      </c>
    </row>
    <row r="126" spans="1:16" x14ac:dyDescent="0.35">
      <c r="A126" s="2" t="s">
        <v>36</v>
      </c>
      <c r="B126" s="2">
        <v>785958</v>
      </c>
      <c r="C126" s="2">
        <v>360</v>
      </c>
      <c r="D126" s="2">
        <v>2881328</v>
      </c>
      <c r="E126" s="2" t="s">
        <v>574</v>
      </c>
      <c r="F126" s="6" t="s">
        <v>116</v>
      </c>
      <c r="G126" s="6" t="s">
        <v>188</v>
      </c>
      <c r="H126" s="2">
        <v>20190</v>
      </c>
      <c r="I126" s="2" t="s">
        <v>68</v>
      </c>
      <c r="J126" s="2">
        <v>3232.12</v>
      </c>
      <c r="K126" s="2">
        <v>1.03901</v>
      </c>
      <c r="L126" s="2" t="s">
        <v>65</v>
      </c>
      <c r="M126" s="2" t="s">
        <v>186</v>
      </c>
      <c r="N126" s="2">
        <f t="shared" ca="1" si="3"/>
        <v>4</v>
      </c>
      <c r="O126" s="6">
        <f t="shared" ca="1" si="4"/>
        <v>45456</v>
      </c>
      <c r="P126" s="2">
        <f t="shared" ca="1" si="5"/>
        <v>1</v>
      </c>
    </row>
    <row r="127" spans="1:16" x14ac:dyDescent="0.35">
      <c r="A127" s="2" t="s">
        <v>42</v>
      </c>
      <c r="B127" s="2">
        <v>783450</v>
      </c>
      <c r="C127" s="2">
        <v>360</v>
      </c>
      <c r="D127" s="2">
        <v>2880876</v>
      </c>
      <c r="E127" s="2" t="s">
        <v>220</v>
      </c>
      <c r="F127" s="6" t="s">
        <v>139</v>
      </c>
      <c r="G127" s="6" t="s">
        <v>188</v>
      </c>
      <c r="H127" s="2">
        <v>19620</v>
      </c>
      <c r="I127" s="2" t="s">
        <v>79</v>
      </c>
      <c r="J127" s="2">
        <v>804.39</v>
      </c>
      <c r="K127" s="2">
        <v>1.0420100000000001</v>
      </c>
      <c r="L127" s="2" t="s">
        <v>76</v>
      </c>
      <c r="M127" s="2" t="s">
        <v>425</v>
      </c>
      <c r="N127" s="2">
        <f t="shared" ca="1" si="3"/>
        <v>4</v>
      </c>
      <c r="O127" s="6">
        <f t="shared" ca="1" si="4"/>
        <v>45456</v>
      </c>
      <c r="P127" s="2">
        <f t="shared" ca="1" si="5"/>
        <v>1</v>
      </c>
    </row>
    <row r="128" spans="1:16" x14ac:dyDescent="0.35">
      <c r="A128" s="2" t="s">
        <v>40</v>
      </c>
      <c r="B128" s="2">
        <v>783341</v>
      </c>
      <c r="C128" s="2">
        <v>360</v>
      </c>
      <c r="D128" s="2">
        <v>2876604</v>
      </c>
      <c r="E128" s="2" t="s">
        <v>189</v>
      </c>
      <c r="F128" s="6" t="s">
        <v>139</v>
      </c>
      <c r="G128" s="6" t="s">
        <v>188</v>
      </c>
      <c r="H128" s="2">
        <v>54789</v>
      </c>
      <c r="I128" s="2" t="s">
        <v>83</v>
      </c>
      <c r="J128" s="2">
        <v>395.76</v>
      </c>
      <c r="K128" s="2">
        <v>1.01702</v>
      </c>
      <c r="L128" s="2" t="s">
        <v>76</v>
      </c>
      <c r="M128" s="2" t="s">
        <v>190</v>
      </c>
      <c r="N128" s="2">
        <f t="shared" ca="1" si="3"/>
        <v>4</v>
      </c>
      <c r="O128" s="6">
        <f t="shared" ca="1" si="4"/>
        <v>45456</v>
      </c>
      <c r="P128" s="2">
        <f t="shared" ca="1" si="5"/>
        <v>1</v>
      </c>
    </row>
    <row r="129" spans="1:16" x14ac:dyDescent="0.35">
      <c r="A129" s="2" t="s">
        <v>38</v>
      </c>
      <c r="B129" s="2">
        <v>782985</v>
      </c>
      <c r="C129" s="2">
        <v>360</v>
      </c>
      <c r="D129" s="2">
        <v>2888681</v>
      </c>
      <c r="E129" s="2" t="s">
        <v>575</v>
      </c>
      <c r="F129" s="6" t="s">
        <v>135</v>
      </c>
      <c r="G129" s="6" t="s">
        <v>188</v>
      </c>
      <c r="H129" s="2">
        <v>11</v>
      </c>
      <c r="I129" s="2" t="s">
        <v>79</v>
      </c>
      <c r="J129" s="2">
        <v>1250</v>
      </c>
      <c r="K129" s="2">
        <v>1.0740099999999999</v>
      </c>
      <c r="L129" s="2" t="s">
        <v>65</v>
      </c>
      <c r="M129" s="2" t="s">
        <v>105</v>
      </c>
      <c r="N129" s="2">
        <f t="shared" ca="1" si="3"/>
        <v>4</v>
      </c>
      <c r="O129" s="6">
        <f t="shared" ca="1" si="4"/>
        <v>45456</v>
      </c>
      <c r="P129" s="2">
        <f t="shared" ca="1" si="5"/>
        <v>1</v>
      </c>
    </row>
    <row r="130" spans="1:16" x14ac:dyDescent="0.35">
      <c r="A130" s="2" t="s">
        <v>36</v>
      </c>
      <c r="B130" s="2">
        <v>782176</v>
      </c>
      <c r="C130" s="2">
        <v>360</v>
      </c>
      <c r="D130" s="2">
        <v>2873200</v>
      </c>
      <c r="E130" s="2" t="s">
        <v>426</v>
      </c>
      <c r="F130" s="6" t="s">
        <v>135</v>
      </c>
      <c r="G130" s="6" t="s">
        <v>188</v>
      </c>
      <c r="H130" s="2">
        <v>102803</v>
      </c>
      <c r="I130" s="2" t="s">
        <v>79</v>
      </c>
      <c r="J130" s="2">
        <v>796</v>
      </c>
      <c r="K130" s="2">
        <v>1.07101</v>
      </c>
      <c r="L130" s="2" t="s">
        <v>76</v>
      </c>
      <c r="M130" s="2" t="s">
        <v>112</v>
      </c>
      <c r="N130" s="2">
        <f t="shared" ca="1" si="3"/>
        <v>4</v>
      </c>
      <c r="O130" s="6">
        <f t="shared" ca="1" si="4"/>
        <v>45456</v>
      </c>
      <c r="P130" s="2">
        <f t="shared" ca="1" si="5"/>
        <v>1</v>
      </c>
    </row>
    <row r="131" spans="1:16" x14ac:dyDescent="0.35">
      <c r="A131" s="2" t="s">
        <v>42</v>
      </c>
      <c r="B131" s="2">
        <v>781311</v>
      </c>
      <c r="C131" s="2">
        <v>360</v>
      </c>
      <c r="D131" s="2">
        <v>2870288</v>
      </c>
      <c r="E131" s="2" t="s">
        <v>191</v>
      </c>
      <c r="F131" s="6" t="s">
        <v>135</v>
      </c>
      <c r="G131" s="6" t="s">
        <v>188</v>
      </c>
      <c r="H131" s="2">
        <v>14340</v>
      </c>
      <c r="I131" s="2" t="s">
        <v>137</v>
      </c>
      <c r="J131" s="2">
        <v>643.5</v>
      </c>
      <c r="K131" s="2">
        <v>1.09501</v>
      </c>
      <c r="L131" s="2" t="s">
        <v>65</v>
      </c>
      <c r="M131" s="2" t="s">
        <v>192</v>
      </c>
      <c r="N131" s="2">
        <f t="shared" ref="N131:N194" ca="1" si="6">IF(G131 &lt; TODAY(), -NETWORKDAYS(G131, TODAY()), NETWORKDAYS(TODAY(), G131))</f>
        <v>4</v>
      </c>
      <c r="O131" s="6">
        <f t="shared" ref="O131:O194" ca="1" si="7">TODAY()</f>
        <v>45456</v>
      </c>
      <c r="P131" s="2">
        <f t="shared" ref="P131:P194" ca="1" si="8">NETWORKDAYS(O131,TODAY())</f>
        <v>1</v>
      </c>
    </row>
    <row r="132" spans="1:16" x14ac:dyDescent="0.35">
      <c r="A132" s="2" t="s">
        <v>42</v>
      </c>
      <c r="B132" s="2">
        <v>781250</v>
      </c>
      <c r="C132" s="2">
        <v>360</v>
      </c>
      <c r="D132" s="2">
        <v>2870193</v>
      </c>
      <c r="E132" s="2" t="s">
        <v>191</v>
      </c>
      <c r="F132" s="6" t="s">
        <v>135</v>
      </c>
      <c r="G132" s="6" t="s">
        <v>188</v>
      </c>
      <c r="H132" s="2">
        <v>14218</v>
      </c>
      <c r="I132" s="2" t="s">
        <v>137</v>
      </c>
      <c r="J132" s="2">
        <v>887.01</v>
      </c>
      <c r="K132" s="2">
        <v>1.1020099999999999</v>
      </c>
      <c r="L132" s="2" t="s">
        <v>65</v>
      </c>
      <c r="M132" s="2" t="s">
        <v>161</v>
      </c>
      <c r="N132" s="2">
        <f t="shared" ca="1" si="6"/>
        <v>4</v>
      </c>
      <c r="O132" s="6">
        <f t="shared" ca="1" si="7"/>
        <v>45456</v>
      </c>
      <c r="P132" s="2">
        <f t="shared" ca="1" si="8"/>
        <v>1</v>
      </c>
    </row>
    <row r="133" spans="1:16" x14ac:dyDescent="0.35">
      <c r="A133" s="2" t="s">
        <v>42</v>
      </c>
      <c r="B133" s="2">
        <v>781247</v>
      </c>
      <c r="C133" s="2">
        <v>360</v>
      </c>
      <c r="D133" s="2">
        <v>2870323</v>
      </c>
      <c r="E133" s="2" t="s">
        <v>191</v>
      </c>
      <c r="F133" s="6" t="s">
        <v>135</v>
      </c>
      <c r="G133" s="6" t="s">
        <v>188</v>
      </c>
      <c r="H133" s="2">
        <v>14285</v>
      </c>
      <c r="I133" s="2" t="s">
        <v>416</v>
      </c>
      <c r="J133" s="2">
        <v>643.5</v>
      </c>
      <c r="K133" s="2">
        <v>1.0460199999999999</v>
      </c>
      <c r="L133" s="2" t="s">
        <v>65</v>
      </c>
      <c r="M133" s="2" t="s">
        <v>66</v>
      </c>
      <c r="N133" s="2">
        <f t="shared" ca="1" si="6"/>
        <v>4</v>
      </c>
      <c r="O133" s="6">
        <f t="shared" ca="1" si="7"/>
        <v>45456</v>
      </c>
      <c r="P133" s="2">
        <f t="shared" ca="1" si="8"/>
        <v>1</v>
      </c>
    </row>
    <row r="134" spans="1:16" x14ac:dyDescent="0.35">
      <c r="A134" s="2" t="s">
        <v>42</v>
      </c>
      <c r="B134" s="2">
        <v>781215</v>
      </c>
      <c r="C134" s="2">
        <v>360</v>
      </c>
      <c r="D134" s="2">
        <v>2870419</v>
      </c>
      <c r="E134" s="2" t="s">
        <v>191</v>
      </c>
      <c r="F134" s="6" t="s">
        <v>135</v>
      </c>
      <c r="G134" s="6" t="s">
        <v>188</v>
      </c>
      <c r="H134" s="2">
        <v>14275</v>
      </c>
      <c r="I134" s="2" t="s">
        <v>83</v>
      </c>
      <c r="J134" s="2">
        <v>643.5</v>
      </c>
      <c r="K134" s="2">
        <v>1.02501</v>
      </c>
      <c r="L134" s="2" t="s">
        <v>65</v>
      </c>
      <c r="M134" s="2" t="s">
        <v>193</v>
      </c>
      <c r="N134" s="2">
        <f t="shared" ca="1" si="6"/>
        <v>4</v>
      </c>
      <c r="O134" s="6">
        <f t="shared" ca="1" si="7"/>
        <v>45456</v>
      </c>
      <c r="P134" s="2">
        <f t="shared" ca="1" si="8"/>
        <v>1</v>
      </c>
    </row>
    <row r="135" spans="1:16" x14ac:dyDescent="0.35">
      <c r="A135" s="2" t="s">
        <v>42</v>
      </c>
      <c r="B135" s="2">
        <v>781212</v>
      </c>
      <c r="C135" s="2">
        <v>360</v>
      </c>
      <c r="D135" s="2">
        <v>2870490</v>
      </c>
      <c r="E135" s="2" t="s">
        <v>191</v>
      </c>
      <c r="F135" s="6" t="s">
        <v>135</v>
      </c>
      <c r="G135" s="6" t="s">
        <v>188</v>
      </c>
      <c r="H135" s="2">
        <v>14233</v>
      </c>
      <c r="I135" s="2" t="s">
        <v>68</v>
      </c>
      <c r="J135" s="2">
        <v>1596.38</v>
      </c>
      <c r="K135" s="2">
        <v>1.0340100000000001</v>
      </c>
      <c r="L135" s="2" t="s">
        <v>65</v>
      </c>
      <c r="M135" s="2" t="s">
        <v>159</v>
      </c>
      <c r="N135" s="2">
        <f t="shared" ca="1" si="6"/>
        <v>4</v>
      </c>
      <c r="O135" s="6">
        <f t="shared" ca="1" si="7"/>
        <v>45456</v>
      </c>
      <c r="P135" s="2">
        <f t="shared" ca="1" si="8"/>
        <v>1</v>
      </c>
    </row>
    <row r="136" spans="1:16" x14ac:dyDescent="0.35">
      <c r="A136" s="2" t="s">
        <v>40</v>
      </c>
      <c r="B136" s="2">
        <v>781147</v>
      </c>
      <c r="C136" s="2">
        <v>360</v>
      </c>
      <c r="D136" s="2">
        <v>2888633</v>
      </c>
      <c r="E136" s="2" t="s">
        <v>576</v>
      </c>
      <c r="F136" s="6" t="s">
        <v>135</v>
      </c>
      <c r="G136" s="6" t="s">
        <v>188</v>
      </c>
      <c r="H136" s="2">
        <v>10</v>
      </c>
      <c r="I136" s="2" t="s">
        <v>79</v>
      </c>
      <c r="J136" s="2">
        <v>800</v>
      </c>
      <c r="K136" s="2">
        <v>1.0740099999999999</v>
      </c>
      <c r="L136" s="2" t="s">
        <v>65</v>
      </c>
      <c r="M136" s="2" t="s">
        <v>105</v>
      </c>
      <c r="N136" s="2">
        <f t="shared" ca="1" si="6"/>
        <v>4</v>
      </c>
      <c r="O136" s="6">
        <f t="shared" ca="1" si="7"/>
        <v>45456</v>
      </c>
      <c r="P136" s="2">
        <f t="shared" ca="1" si="8"/>
        <v>1</v>
      </c>
    </row>
    <row r="137" spans="1:16" x14ac:dyDescent="0.35">
      <c r="A137" s="2" t="s">
        <v>38</v>
      </c>
      <c r="B137" s="2">
        <v>780850</v>
      </c>
      <c r="C137" s="2">
        <v>360</v>
      </c>
      <c r="D137" s="2">
        <v>2868697</v>
      </c>
      <c r="E137" s="2" t="s">
        <v>180</v>
      </c>
      <c r="F137" s="6" t="s">
        <v>111</v>
      </c>
      <c r="G137" s="6" t="s">
        <v>188</v>
      </c>
      <c r="H137" s="2">
        <v>117</v>
      </c>
      <c r="I137" s="2" t="s">
        <v>79</v>
      </c>
      <c r="J137" s="2">
        <v>613.79999999999995</v>
      </c>
      <c r="K137" s="2">
        <v>1.00105</v>
      </c>
      <c r="L137" s="2" t="s">
        <v>76</v>
      </c>
      <c r="M137" s="2" t="s">
        <v>86</v>
      </c>
      <c r="N137" s="2">
        <f t="shared" ca="1" si="6"/>
        <v>4</v>
      </c>
      <c r="O137" s="6">
        <f t="shared" ca="1" si="7"/>
        <v>45456</v>
      </c>
      <c r="P137" s="2">
        <f t="shared" ca="1" si="8"/>
        <v>1</v>
      </c>
    </row>
    <row r="138" spans="1:16" x14ac:dyDescent="0.35">
      <c r="A138" s="2" t="s">
        <v>36</v>
      </c>
      <c r="B138" s="2">
        <v>790824</v>
      </c>
      <c r="C138" s="2">
        <v>360</v>
      </c>
      <c r="D138" s="2">
        <v>2890763</v>
      </c>
      <c r="E138" s="2" t="s">
        <v>577</v>
      </c>
      <c r="F138" s="6" t="s">
        <v>124</v>
      </c>
      <c r="G138" s="6" t="s">
        <v>194</v>
      </c>
      <c r="H138" s="2">
        <v>38</v>
      </c>
      <c r="I138" s="2" t="s">
        <v>79</v>
      </c>
      <c r="J138" s="2">
        <v>2480</v>
      </c>
      <c r="K138" s="2">
        <v>1.00901</v>
      </c>
      <c r="L138" s="2" t="s">
        <v>65</v>
      </c>
      <c r="M138" s="2" t="s">
        <v>195</v>
      </c>
      <c r="N138" s="2">
        <f t="shared" ca="1" si="6"/>
        <v>5</v>
      </c>
      <c r="O138" s="6">
        <f t="shared" ca="1" si="7"/>
        <v>45456</v>
      </c>
      <c r="P138" s="2">
        <f t="shared" ca="1" si="8"/>
        <v>1</v>
      </c>
    </row>
    <row r="139" spans="1:16" x14ac:dyDescent="0.35">
      <c r="A139" s="2" t="s">
        <v>36</v>
      </c>
      <c r="B139" s="2">
        <v>790822</v>
      </c>
      <c r="C139" s="2">
        <v>360</v>
      </c>
      <c r="D139" s="2">
        <v>2891399</v>
      </c>
      <c r="E139" s="2" t="s">
        <v>577</v>
      </c>
      <c r="F139" s="6" t="s">
        <v>124</v>
      </c>
      <c r="G139" s="6" t="s">
        <v>122</v>
      </c>
      <c r="H139" s="2">
        <v>37</v>
      </c>
      <c r="I139" s="2" t="s">
        <v>79</v>
      </c>
      <c r="J139" s="2">
        <v>4780</v>
      </c>
      <c r="K139" s="2">
        <v>1.00901</v>
      </c>
      <c r="L139" s="2" t="s">
        <v>65</v>
      </c>
      <c r="M139" s="2" t="s">
        <v>195</v>
      </c>
      <c r="N139" s="2">
        <f t="shared" ca="1" si="6"/>
        <v>6</v>
      </c>
      <c r="O139" s="6">
        <f t="shared" ca="1" si="7"/>
        <v>45456</v>
      </c>
      <c r="P139" s="2">
        <f t="shared" ca="1" si="8"/>
        <v>1</v>
      </c>
    </row>
    <row r="140" spans="1:16" x14ac:dyDescent="0.35">
      <c r="A140" s="2" t="s">
        <v>42</v>
      </c>
      <c r="B140" s="2">
        <v>789215</v>
      </c>
      <c r="C140" s="2">
        <v>360</v>
      </c>
      <c r="D140" s="2">
        <v>2889413</v>
      </c>
      <c r="E140" s="2" t="s">
        <v>225</v>
      </c>
      <c r="F140" s="6" t="s">
        <v>124</v>
      </c>
      <c r="G140" s="6" t="s">
        <v>224</v>
      </c>
      <c r="H140" s="2">
        <v>16780</v>
      </c>
      <c r="I140" s="2" t="s">
        <v>79</v>
      </c>
      <c r="J140" s="2">
        <v>1480</v>
      </c>
      <c r="K140" s="2">
        <v>1.00105</v>
      </c>
      <c r="L140" s="2" t="s">
        <v>76</v>
      </c>
      <c r="M140" s="2" t="s">
        <v>86</v>
      </c>
      <c r="N140" s="2">
        <f t="shared" ca="1" si="6"/>
        <v>20</v>
      </c>
      <c r="O140" s="6">
        <f t="shared" ca="1" si="7"/>
        <v>45456</v>
      </c>
      <c r="P140" s="2">
        <f t="shared" ca="1" si="8"/>
        <v>1</v>
      </c>
    </row>
    <row r="141" spans="1:16" x14ac:dyDescent="0.35">
      <c r="A141" s="2" t="s">
        <v>40</v>
      </c>
      <c r="B141" s="2">
        <v>789070</v>
      </c>
      <c r="C141" s="2">
        <v>360</v>
      </c>
      <c r="D141" s="2">
        <v>2888823</v>
      </c>
      <c r="E141" s="2" t="s">
        <v>578</v>
      </c>
      <c r="F141" s="6" t="s">
        <v>124</v>
      </c>
      <c r="G141" s="6" t="s">
        <v>194</v>
      </c>
      <c r="H141" s="2">
        <v>5</v>
      </c>
      <c r="I141" s="2" t="s">
        <v>79</v>
      </c>
      <c r="J141" s="2">
        <v>2549.3200000000002</v>
      </c>
      <c r="K141" s="2">
        <v>1.00901</v>
      </c>
      <c r="L141" s="2" t="s">
        <v>65</v>
      </c>
      <c r="M141" s="2" t="s">
        <v>195</v>
      </c>
      <c r="N141" s="2">
        <f t="shared" ca="1" si="6"/>
        <v>5</v>
      </c>
      <c r="O141" s="6">
        <f t="shared" ca="1" si="7"/>
        <v>45456</v>
      </c>
      <c r="P141" s="2">
        <f t="shared" ca="1" si="8"/>
        <v>1</v>
      </c>
    </row>
    <row r="142" spans="1:16" x14ac:dyDescent="0.35">
      <c r="A142" s="2" t="s">
        <v>38</v>
      </c>
      <c r="B142" s="2">
        <v>788870</v>
      </c>
      <c r="C142" s="2">
        <v>360</v>
      </c>
      <c r="D142" s="2">
        <v>2886923</v>
      </c>
      <c r="E142" s="2" t="s">
        <v>427</v>
      </c>
      <c r="F142" s="6" t="s">
        <v>120</v>
      </c>
      <c r="G142" s="6" t="s">
        <v>194</v>
      </c>
      <c r="H142" s="2">
        <v>1475</v>
      </c>
      <c r="I142" s="2" t="s">
        <v>68</v>
      </c>
      <c r="J142" s="2">
        <v>2450</v>
      </c>
      <c r="K142" s="2">
        <v>1.00901</v>
      </c>
      <c r="L142" s="2" t="s">
        <v>65</v>
      </c>
      <c r="M142" s="2" t="s">
        <v>195</v>
      </c>
      <c r="N142" s="2">
        <f t="shared" ca="1" si="6"/>
        <v>5</v>
      </c>
      <c r="O142" s="6">
        <f t="shared" ca="1" si="7"/>
        <v>45456</v>
      </c>
      <c r="P142" s="2">
        <f t="shared" ca="1" si="8"/>
        <v>1</v>
      </c>
    </row>
    <row r="143" spans="1:16" x14ac:dyDescent="0.35">
      <c r="A143" s="2" t="s">
        <v>36</v>
      </c>
      <c r="B143" s="2">
        <v>785700</v>
      </c>
      <c r="C143" s="2">
        <v>360</v>
      </c>
      <c r="D143" s="2">
        <v>2891448</v>
      </c>
      <c r="E143" s="2" t="s">
        <v>579</v>
      </c>
      <c r="F143" s="6" t="s">
        <v>129</v>
      </c>
      <c r="G143" s="6" t="s">
        <v>194</v>
      </c>
      <c r="H143" s="2">
        <v>352472</v>
      </c>
      <c r="I143" s="2" t="s">
        <v>79</v>
      </c>
      <c r="J143" s="2">
        <v>325</v>
      </c>
      <c r="K143" s="2">
        <v>1.0740099999999999</v>
      </c>
      <c r="L143" s="2" t="s">
        <v>76</v>
      </c>
      <c r="M143" s="2" t="s">
        <v>105</v>
      </c>
      <c r="N143" s="2">
        <f t="shared" ca="1" si="6"/>
        <v>5</v>
      </c>
      <c r="O143" s="6">
        <f t="shared" ca="1" si="7"/>
        <v>45456</v>
      </c>
      <c r="P143" s="2">
        <f t="shared" ca="1" si="8"/>
        <v>1</v>
      </c>
    </row>
    <row r="144" spans="1:16" x14ac:dyDescent="0.35">
      <c r="A144" s="2" t="s">
        <v>36</v>
      </c>
      <c r="B144" s="2">
        <v>784618</v>
      </c>
      <c r="C144" s="2">
        <v>360</v>
      </c>
      <c r="D144" s="2">
        <v>2879097</v>
      </c>
      <c r="E144" s="2" t="s">
        <v>168</v>
      </c>
      <c r="F144" s="6" t="s">
        <v>129</v>
      </c>
      <c r="G144" s="6" t="s">
        <v>194</v>
      </c>
      <c r="H144" s="2">
        <v>6997</v>
      </c>
      <c r="I144" s="2" t="s">
        <v>68</v>
      </c>
      <c r="J144" s="2">
        <v>353.4</v>
      </c>
      <c r="K144" s="2">
        <v>1.08202</v>
      </c>
      <c r="L144" s="2" t="s">
        <v>65</v>
      </c>
      <c r="M144" s="2" t="s">
        <v>163</v>
      </c>
      <c r="N144" s="2">
        <f t="shared" ca="1" si="6"/>
        <v>5</v>
      </c>
      <c r="O144" s="6">
        <f t="shared" ca="1" si="7"/>
        <v>45456</v>
      </c>
      <c r="P144" s="2">
        <f t="shared" ca="1" si="8"/>
        <v>1</v>
      </c>
    </row>
    <row r="145" spans="1:16" x14ac:dyDescent="0.35">
      <c r="A145" s="2" t="s">
        <v>40</v>
      </c>
      <c r="B145" s="2">
        <v>784420</v>
      </c>
      <c r="C145" s="2">
        <v>360</v>
      </c>
      <c r="D145" s="2">
        <v>2877533</v>
      </c>
      <c r="E145" s="2" t="s">
        <v>183</v>
      </c>
      <c r="F145" s="6" t="s">
        <v>129</v>
      </c>
      <c r="G145" s="6" t="s">
        <v>194</v>
      </c>
      <c r="H145" s="2">
        <v>1121323</v>
      </c>
      <c r="I145" s="2" t="s">
        <v>79</v>
      </c>
      <c r="J145" s="2">
        <v>4010</v>
      </c>
      <c r="K145" s="2">
        <v>1.0100100000000001</v>
      </c>
      <c r="L145" s="2" t="s">
        <v>65</v>
      </c>
      <c r="M145" s="2" t="s">
        <v>69</v>
      </c>
      <c r="N145" s="2">
        <f t="shared" ca="1" si="6"/>
        <v>5</v>
      </c>
      <c r="O145" s="6">
        <f t="shared" ca="1" si="7"/>
        <v>45456</v>
      </c>
      <c r="P145" s="2">
        <f t="shared" ca="1" si="8"/>
        <v>1</v>
      </c>
    </row>
    <row r="146" spans="1:16" x14ac:dyDescent="0.35">
      <c r="A146" s="2" t="s">
        <v>40</v>
      </c>
      <c r="B146" s="2">
        <v>784417</v>
      </c>
      <c r="C146" s="2">
        <v>360</v>
      </c>
      <c r="D146" s="2">
        <v>2877722</v>
      </c>
      <c r="E146" s="2" t="s">
        <v>183</v>
      </c>
      <c r="F146" s="6" t="s">
        <v>129</v>
      </c>
      <c r="G146" s="6" t="s">
        <v>194</v>
      </c>
      <c r="H146" s="2">
        <v>1121326</v>
      </c>
      <c r="I146" s="2" t="s">
        <v>79</v>
      </c>
      <c r="J146" s="2">
        <v>4000</v>
      </c>
      <c r="K146" s="2">
        <v>1.0100100000000001</v>
      </c>
      <c r="L146" s="2" t="s">
        <v>65</v>
      </c>
      <c r="M146" s="2" t="s">
        <v>69</v>
      </c>
      <c r="N146" s="2">
        <f t="shared" ca="1" si="6"/>
        <v>5</v>
      </c>
      <c r="O146" s="6">
        <f t="shared" ca="1" si="7"/>
        <v>45456</v>
      </c>
      <c r="P146" s="2">
        <f t="shared" ca="1" si="8"/>
        <v>1</v>
      </c>
    </row>
    <row r="147" spans="1:16" x14ac:dyDescent="0.35">
      <c r="A147" s="2" t="s">
        <v>40</v>
      </c>
      <c r="B147" s="2">
        <v>784414</v>
      </c>
      <c r="C147" s="2">
        <v>360</v>
      </c>
      <c r="D147" s="2">
        <v>2877387</v>
      </c>
      <c r="E147" s="2" t="s">
        <v>183</v>
      </c>
      <c r="F147" s="6" t="s">
        <v>129</v>
      </c>
      <c r="G147" s="6" t="s">
        <v>194</v>
      </c>
      <c r="H147" s="2">
        <v>1121325</v>
      </c>
      <c r="I147" s="2" t="s">
        <v>79</v>
      </c>
      <c r="J147" s="2">
        <v>4010</v>
      </c>
      <c r="K147" s="2">
        <v>1.0100100000000001</v>
      </c>
      <c r="L147" s="2" t="s">
        <v>65</v>
      </c>
      <c r="M147" s="2" t="s">
        <v>69</v>
      </c>
      <c r="N147" s="2">
        <f t="shared" ca="1" si="6"/>
        <v>5</v>
      </c>
      <c r="O147" s="6">
        <f t="shared" ca="1" si="7"/>
        <v>45456</v>
      </c>
      <c r="P147" s="2">
        <f t="shared" ca="1" si="8"/>
        <v>1</v>
      </c>
    </row>
    <row r="148" spans="1:16" x14ac:dyDescent="0.35">
      <c r="A148" s="2" t="s">
        <v>40</v>
      </c>
      <c r="B148" s="2">
        <v>784413</v>
      </c>
      <c r="C148" s="2">
        <v>360</v>
      </c>
      <c r="D148" s="2">
        <v>2877386</v>
      </c>
      <c r="E148" s="2" t="s">
        <v>183</v>
      </c>
      <c r="F148" s="6" t="s">
        <v>129</v>
      </c>
      <c r="G148" s="6" t="s">
        <v>194</v>
      </c>
      <c r="H148" s="2">
        <v>1121328</v>
      </c>
      <c r="I148" s="2" t="s">
        <v>79</v>
      </c>
      <c r="J148" s="2">
        <v>4000</v>
      </c>
      <c r="K148" s="2">
        <v>1.0100100000000001</v>
      </c>
      <c r="L148" s="2" t="s">
        <v>65</v>
      </c>
      <c r="M148" s="2" t="s">
        <v>69</v>
      </c>
      <c r="N148" s="2">
        <f t="shared" ca="1" si="6"/>
        <v>5</v>
      </c>
      <c r="O148" s="6">
        <f t="shared" ca="1" si="7"/>
        <v>45456</v>
      </c>
      <c r="P148" s="2">
        <f t="shared" ca="1" si="8"/>
        <v>1</v>
      </c>
    </row>
    <row r="149" spans="1:16" x14ac:dyDescent="0.35">
      <c r="A149" s="2" t="s">
        <v>42</v>
      </c>
      <c r="B149" s="2">
        <v>783239</v>
      </c>
      <c r="C149" s="2">
        <v>360</v>
      </c>
      <c r="D149" s="2">
        <v>2876465</v>
      </c>
      <c r="E149" s="2" t="s">
        <v>142</v>
      </c>
      <c r="F149" s="6" t="s">
        <v>135</v>
      </c>
      <c r="G149" s="6" t="s">
        <v>194</v>
      </c>
      <c r="H149" s="2">
        <v>2024396</v>
      </c>
      <c r="I149" s="2" t="s">
        <v>68</v>
      </c>
      <c r="J149" s="2">
        <v>2940</v>
      </c>
      <c r="K149" s="2">
        <v>1.02101</v>
      </c>
      <c r="L149" s="2" t="s">
        <v>65</v>
      </c>
      <c r="M149" s="2" t="s">
        <v>148</v>
      </c>
      <c r="N149" s="2">
        <f t="shared" ca="1" si="6"/>
        <v>5</v>
      </c>
      <c r="O149" s="6">
        <f t="shared" ca="1" si="7"/>
        <v>45456</v>
      </c>
      <c r="P149" s="2">
        <f t="shared" ca="1" si="8"/>
        <v>1</v>
      </c>
    </row>
    <row r="150" spans="1:16" x14ac:dyDescent="0.35">
      <c r="A150" s="2" t="s">
        <v>40</v>
      </c>
      <c r="B150" s="2">
        <v>782893</v>
      </c>
      <c r="C150" s="2">
        <v>360</v>
      </c>
      <c r="D150" s="2">
        <v>2875126</v>
      </c>
      <c r="E150" s="2" t="s">
        <v>197</v>
      </c>
      <c r="F150" s="6" t="s">
        <v>139</v>
      </c>
      <c r="G150" s="6" t="s">
        <v>194</v>
      </c>
      <c r="H150" s="2">
        <v>30814</v>
      </c>
      <c r="I150" s="2" t="s">
        <v>68</v>
      </c>
      <c r="J150" s="2">
        <v>1253.2</v>
      </c>
      <c r="K150" s="2">
        <v>1.0100199999999999</v>
      </c>
      <c r="L150" s="2" t="s">
        <v>65</v>
      </c>
      <c r="M150" s="2" t="s">
        <v>69</v>
      </c>
      <c r="N150" s="2">
        <f t="shared" ca="1" si="6"/>
        <v>5</v>
      </c>
      <c r="O150" s="6">
        <f t="shared" ca="1" si="7"/>
        <v>45456</v>
      </c>
      <c r="P150" s="2">
        <f t="shared" ca="1" si="8"/>
        <v>1</v>
      </c>
    </row>
    <row r="151" spans="1:16" x14ac:dyDescent="0.35">
      <c r="A151" s="2" t="s">
        <v>38</v>
      </c>
      <c r="B151" s="2">
        <v>790517</v>
      </c>
      <c r="C151" s="2">
        <v>360</v>
      </c>
      <c r="D151" s="2">
        <v>2890250</v>
      </c>
      <c r="E151" s="2" t="s">
        <v>580</v>
      </c>
      <c r="F151" s="6" t="s">
        <v>124</v>
      </c>
      <c r="G151" s="6" t="s">
        <v>122</v>
      </c>
      <c r="H151" s="2">
        <v>108</v>
      </c>
      <c r="I151" s="2" t="s">
        <v>79</v>
      </c>
      <c r="J151" s="2">
        <v>2305</v>
      </c>
      <c r="K151" s="2">
        <v>1.09101</v>
      </c>
      <c r="L151" s="2" t="s">
        <v>76</v>
      </c>
      <c r="M151" s="2" t="s">
        <v>138</v>
      </c>
      <c r="N151" s="2">
        <f t="shared" ca="1" si="6"/>
        <v>6</v>
      </c>
      <c r="O151" s="6">
        <f t="shared" ca="1" si="7"/>
        <v>45456</v>
      </c>
      <c r="P151" s="2">
        <f t="shared" ca="1" si="8"/>
        <v>1</v>
      </c>
    </row>
    <row r="152" spans="1:16" x14ac:dyDescent="0.35">
      <c r="A152" s="2" t="s">
        <v>36</v>
      </c>
      <c r="B152" s="2">
        <v>789353</v>
      </c>
      <c r="C152" s="2">
        <v>360</v>
      </c>
      <c r="D152" s="2">
        <v>2890079</v>
      </c>
      <c r="E152" s="2" t="s">
        <v>428</v>
      </c>
      <c r="F152" s="6" t="s">
        <v>124</v>
      </c>
      <c r="G152" s="6" t="s">
        <v>122</v>
      </c>
      <c r="H152" s="2">
        <v>232980</v>
      </c>
      <c r="I152" s="2" t="s">
        <v>79</v>
      </c>
      <c r="J152" s="2">
        <v>65</v>
      </c>
      <c r="K152" s="2">
        <v>1.02301</v>
      </c>
      <c r="L152" s="2" t="s">
        <v>76</v>
      </c>
      <c r="M152" s="2" t="s">
        <v>170</v>
      </c>
      <c r="N152" s="2">
        <f t="shared" ca="1" si="6"/>
        <v>6</v>
      </c>
      <c r="O152" s="6">
        <f t="shared" ca="1" si="7"/>
        <v>45456</v>
      </c>
      <c r="P152" s="2">
        <f t="shared" ca="1" si="8"/>
        <v>1</v>
      </c>
    </row>
    <row r="153" spans="1:16" x14ac:dyDescent="0.35">
      <c r="A153" s="2" t="s">
        <v>42</v>
      </c>
      <c r="B153" s="2">
        <v>789246</v>
      </c>
      <c r="C153" s="2">
        <v>360</v>
      </c>
      <c r="D153" s="2">
        <v>2889488</v>
      </c>
      <c r="E153" s="2" t="s">
        <v>581</v>
      </c>
      <c r="F153" s="6" t="s">
        <v>124</v>
      </c>
      <c r="G153" s="6" t="s">
        <v>122</v>
      </c>
      <c r="H153" s="2">
        <v>899</v>
      </c>
      <c r="I153" s="2" t="s">
        <v>68</v>
      </c>
      <c r="J153" s="2">
        <v>2350</v>
      </c>
      <c r="K153" s="2">
        <v>1.09202</v>
      </c>
      <c r="L153" s="2" t="s">
        <v>65</v>
      </c>
      <c r="M153" s="2" t="s">
        <v>164</v>
      </c>
      <c r="N153" s="2">
        <f t="shared" ca="1" si="6"/>
        <v>6</v>
      </c>
      <c r="O153" s="6">
        <f t="shared" ca="1" si="7"/>
        <v>45456</v>
      </c>
      <c r="P153" s="2">
        <f t="shared" ca="1" si="8"/>
        <v>1</v>
      </c>
    </row>
    <row r="154" spans="1:16" x14ac:dyDescent="0.35">
      <c r="A154" s="2" t="s">
        <v>42</v>
      </c>
      <c r="B154" s="2">
        <v>789233</v>
      </c>
      <c r="C154" s="2">
        <v>360</v>
      </c>
      <c r="D154" s="2">
        <v>2889469</v>
      </c>
      <c r="E154" s="2" t="s">
        <v>581</v>
      </c>
      <c r="F154" s="6" t="s">
        <v>124</v>
      </c>
      <c r="G154" s="6" t="s">
        <v>122</v>
      </c>
      <c r="H154" s="2">
        <v>898</v>
      </c>
      <c r="I154" s="2" t="s">
        <v>68</v>
      </c>
      <c r="J154" s="2">
        <v>2000</v>
      </c>
      <c r="K154" s="2">
        <v>1.0920300000000001</v>
      </c>
      <c r="L154" s="2" t="s">
        <v>65</v>
      </c>
      <c r="M154" s="2" t="s">
        <v>164</v>
      </c>
      <c r="N154" s="2">
        <f t="shared" ca="1" si="6"/>
        <v>6</v>
      </c>
      <c r="O154" s="6">
        <f t="shared" ca="1" si="7"/>
        <v>45456</v>
      </c>
      <c r="P154" s="2">
        <f t="shared" ca="1" si="8"/>
        <v>1</v>
      </c>
    </row>
    <row r="155" spans="1:16" x14ac:dyDescent="0.35">
      <c r="A155" s="2" t="s">
        <v>42</v>
      </c>
      <c r="B155" s="2">
        <v>789222</v>
      </c>
      <c r="C155" s="2">
        <v>360</v>
      </c>
      <c r="D155" s="2">
        <v>2889449</v>
      </c>
      <c r="E155" s="2" t="s">
        <v>581</v>
      </c>
      <c r="F155" s="6" t="s">
        <v>124</v>
      </c>
      <c r="G155" s="6" t="s">
        <v>122</v>
      </c>
      <c r="H155" s="2">
        <v>897</v>
      </c>
      <c r="I155" s="2" t="s">
        <v>68</v>
      </c>
      <c r="J155" s="2">
        <v>1400</v>
      </c>
      <c r="K155" s="2">
        <v>1.1000099999999999</v>
      </c>
      <c r="L155" s="2" t="s">
        <v>65</v>
      </c>
      <c r="M155" s="2" t="s">
        <v>217</v>
      </c>
      <c r="N155" s="2">
        <f t="shared" ca="1" si="6"/>
        <v>6</v>
      </c>
      <c r="O155" s="6">
        <f t="shared" ca="1" si="7"/>
        <v>45456</v>
      </c>
      <c r="P155" s="2">
        <f t="shared" ca="1" si="8"/>
        <v>1</v>
      </c>
    </row>
    <row r="156" spans="1:16" x14ac:dyDescent="0.35">
      <c r="A156" s="2" t="s">
        <v>42</v>
      </c>
      <c r="B156" s="2">
        <v>789220</v>
      </c>
      <c r="C156" s="2">
        <v>360</v>
      </c>
      <c r="D156" s="2">
        <v>2889431</v>
      </c>
      <c r="E156" s="2" t="s">
        <v>581</v>
      </c>
      <c r="F156" s="6" t="s">
        <v>124</v>
      </c>
      <c r="G156" s="6" t="s">
        <v>122</v>
      </c>
      <c r="H156" s="2">
        <v>896</v>
      </c>
      <c r="I156" s="2" t="s">
        <v>68</v>
      </c>
      <c r="J156" s="2">
        <v>1300</v>
      </c>
      <c r="K156" s="2">
        <v>1.09701</v>
      </c>
      <c r="L156" s="2" t="s">
        <v>65</v>
      </c>
      <c r="M156" s="2" t="s">
        <v>417</v>
      </c>
      <c r="N156" s="2">
        <f t="shared" ca="1" si="6"/>
        <v>6</v>
      </c>
      <c r="O156" s="6">
        <f t="shared" ca="1" si="7"/>
        <v>45456</v>
      </c>
      <c r="P156" s="2">
        <f t="shared" ca="1" si="8"/>
        <v>1</v>
      </c>
    </row>
    <row r="157" spans="1:16" x14ac:dyDescent="0.35">
      <c r="A157" s="2" t="s">
        <v>40</v>
      </c>
      <c r="B157" s="2">
        <v>788959</v>
      </c>
      <c r="C157" s="2">
        <v>360</v>
      </c>
      <c r="D157" s="2">
        <v>2888036</v>
      </c>
      <c r="E157" s="2" t="s">
        <v>198</v>
      </c>
      <c r="F157" s="6" t="s">
        <v>139</v>
      </c>
      <c r="G157" s="6" t="s">
        <v>122</v>
      </c>
      <c r="H157" s="2">
        <v>20241333</v>
      </c>
      <c r="I157" s="2" t="s">
        <v>68</v>
      </c>
      <c r="J157" s="2">
        <v>1520.72</v>
      </c>
      <c r="K157" s="2">
        <v>1.0460100000000001</v>
      </c>
      <c r="L157" s="2" t="s">
        <v>65</v>
      </c>
      <c r="M157" s="2" t="s">
        <v>66</v>
      </c>
      <c r="N157" s="2">
        <f t="shared" ca="1" si="6"/>
        <v>6</v>
      </c>
      <c r="O157" s="6">
        <f t="shared" ca="1" si="7"/>
        <v>45456</v>
      </c>
      <c r="P157" s="2">
        <f t="shared" ca="1" si="8"/>
        <v>1</v>
      </c>
    </row>
    <row r="158" spans="1:16" x14ac:dyDescent="0.35">
      <c r="A158" s="2" t="s">
        <v>38</v>
      </c>
      <c r="B158" s="2">
        <v>788465</v>
      </c>
      <c r="C158" s="2">
        <v>360</v>
      </c>
      <c r="D158" s="2">
        <v>2886644</v>
      </c>
      <c r="E158" s="2" t="s">
        <v>429</v>
      </c>
      <c r="F158" s="6" t="s">
        <v>78</v>
      </c>
      <c r="G158" s="6" t="s">
        <v>122</v>
      </c>
      <c r="H158" s="2">
        <v>278</v>
      </c>
      <c r="I158" s="2" t="s">
        <v>79</v>
      </c>
      <c r="J158" s="2">
        <v>219.7</v>
      </c>
      <c r="K158" s="2">
        <v>1.09501</v>
      </c>
      <c r="L158" s="2" t="s">
        <v>76</v>
      </c>
      <c r="M158" s="2" t="s">
        <v>192</v>
      </c>
      <c r="N158" s="2">
        <f t="shared" ca="1" si="6"/>
        <v>6</v>
      </c>
      <c r="O158" s="6">
        <f t="shared" ca="1" si="7"/>
        <v>45456</v>
      </c>
      <c r="P158" s="2">
        <f t="shared" ca="1" si="8"/>
        <v>1</v>
      </c>
    </row>
    <row r="159" spans="1:16" x14ac:dyDescent="0.35">
      <c r="A159" s="2" t="s">
        <v>40</v>
      </c>
      <c r="B159" s="2">
        <v>787539</v>
      </c>
      <c r="C159" s="2">
        <v>360</v>
      </c>
      <c r="D159" s="2">
        <v>2886586</v>
      </c>
      <c r="E159" s="2" t="s">
        <v>198</v>
      </c>
      <c r="F159" s="6" t="s">
        <v>139</v>
      </c>
      <c r="G159" s="6" t="s">
        <v>122</v>
      </c>
      <c r="H159" s="2">
        <v>20241332</v>
      </c>
      <c r="I159" s="2" t="s">
        <v>123</v>
      </c>
      <c r="J159" s="2">
        <v>1472.25</v>
      </c>
      <c r="K159" s="2">
        <v>1.0220100000000001</v>
      </c>
      <c r="L159" s="2" t="s">
        <v>65</v>
      </c>
      <c r="M159" s="2" t="s">
        <v>149</v>
      </c>
      <c r="N159" s="2">
        <f t="shared" ca="1" si="6"/>
        <v>6</v>
      </c>
      <c r="O159" s="6">
        <f t="shared" ca="1" si="7"/>
        <v>45456</v>
      </c>
      <c r="P159" s="2">
        <f t="shared" ca="1" si="8"/>
        <v>1</v>
      </c>
    </row>
    <row r="160" spans="1:16" x14ac:dyDescent="0.35">
      <c r="A160" s="2" t="s">
        <v>36</v>
      </c>
      <c r="B160" s="2">
        <v>786556</v>
      </c>
      <c r="C160" s="2">
        <v>360</v>
      </c>
      <c r="D160" s="2">
        <v>2882822</v>
      </c>
      <c r="E160" s="2" t="s">
        <v>582</v>
      </c>
      <c r="F160" s="6" t="s">
        <v>116</v>
      </c>
      <c r="G160" s="6" t="s">
        <v>122</v>
      </c>
      <c r="H160" s="2">
        <v>28083</v>
      </c>
      <c r="I160" s="2" t="s">
        <v>79</v>
      </c>
      <c r="J160" s="2">
        <v>362.6</v>
      </c>
      <c r="K160" s="2">
        <v>1.05501</v>
      </c>
      <c r="L160" s="2" t="s">
        <v>76</v>
      </c>
      <c r="M160" s="2" t="s">
        <v>561</v>
      </c>
      <c r="N160" s="2">
        <f t="shared" ca="1" si="6"/>
        <v>6</v>
      </c>
      <c r="O160" s="6">
        <f t="shared" ca="1" si="7"/>
        <v>45456</v>
      </c>
      <c r="P160" s="2">
        <f t="shared" ca="1" si="8"/>
        <v>1</v>
      </c>
    </row>
    <row r="161" spans="1:16" x14ac:dyDescent="0.35">
      <c r="A161" s="2" t="s">
        <v>42</v>
      </c>
      <c r="B161" s="2">
        <v>786408</v>
      </c>
      <c r="C161" s="2">
        <v>360</v>
      </c>
      <c r="D161" s="2">
        <v>2882834</v>
      </c>
      <c r="E161" s="2" t="s">
        <v>583</v>
      </c>
      <c r="F161" s="6" t="s">
        <v>116</v>
      </c>
      <c r="G161" s="6" t="s">
        <v>122</v>
      </c>
      <c r="H161" s="2">
        <v>11554</v>
      </c>
      <c r="I161" s="2" t="s">
        <v>79</v>
      </c>
      <c r="J161" s="2">
        <v>598</v>
      </c>
      <c r="K161" s="2">
        <v>1.03901</v>
      </c>
      <c r="L161" s="2" t="s">
        <v>76</v>
      </c>
      <c r="M161" s="2" t="s">
        <v>186</v>
      </c>
      <c r="N161" s="2">
        <f t="shared" ca="1" si="6"/>
        <v>6</v>
      </c>
      <c r="O161" s="6">
        <f t="shared" ca="1" si="7"/>
        <v>45456</v>
      </c>
      <c r="P161" s="2">
        <f t="shared" ca="1" si="8"/>
        <v>1</v>
      </c>
    </row>
    <row r="162" spans="1:16" x14ac:dyDescent="0.35">
      <c r="A162" s="2" t="s">
        <v>40</v>
      </c>
      <c r="B162" s="2">
        <v>785984</v>
      </c>
      <c r="C162" s="2">
        <v>360</v>
      </c>
      <c r="D162" s="2">
        <v>2881299</v>
      </c>
      <c r="E162" s="2" t="s">
        <v>187</v>
      </c>
      <c r="F162" s="6" t="s">
        <v>116</v>
      </c>
      <c r="G162" s="6" t="s">
        <v>122</v>
      </c>
      <c r="H162" s="2">
        <v>3723</v>
      </c>
      <c r="I162" s="2" t="s">
        <v>68</v>
      </c>
      <c r="J162" s="2">
        <v>9.98</v>
      </c>
      <c r="K162" s="2">
        <v>1.0860099999999999</v>
      </c>
      <c r="L162" s="2" t="s">
        <v>65</v>
      </c>
      <c r="M162" s="2" t="s">
        <v>151</v>
      </c>
      <c r="N162" s="2">
        <f t="shared" ca="1" si="6"/>
        <v>6</v>
      </c>
      <c r="O162" s="6">
        <f t="shared" ca="1" si="7"/>
        <v>45456</v>
      </c>
      <c r="P162" s="2">
        <f t="shared" ca="1" si="8"/>
        <v>1</v>
      </c>
    </row>
    <row r="163" spans="1:16" x14ac:dyDescent="0.35">
      <c r="A163" s="2" t="s">
        <v>40</v>
      </c>
      <c r="B163" s="2">
        <v>785983</v>
      </c>
      <c r="C163" s="2">
        <v>360</v>
      </c>
      <c r="D163" s="2">
        <v>2881281</v>
      </c>
      <c r="E163" s="2" t="s">
        <v>187</v>
      </c>
      <c r="F163" s="6" t="s">
        <v>116</v>
      </c>
      <c r="G163" s="6" t="s">
        <v>122</v>
      </c>
      <c r="H163" s="2">
        <v>3694</v>
      </c>
      <c r="I163" s="2" t="s">
        <v>68</v>
      </c>
      <c r="J163" s="2">
        <v>2463.4499999999998</v>
      </c>
      <c r="K163" s="2">
        <v>1.0860099999999999</v>
      </c>
      <c r="L163" s="2" t="s">
        <v>65</v>
      </c>
      <c r="M163" s="2" t="s">
        <v>151</v>
      </c>
      <c r="N163" s="2">
        <f t="shared" ca="1" si="6"/>
        <v>6</v>
      </c>
      <c r="O163" s="6">
        <f t="shared" ca="1" si="7"/>
        <v>45456</v>
      </c>
      <c r="P163" s="2">
        <f t="shared" ca="1" si="8"/>
        <v>1</v>
      </c>
    </row>
    <row r="164" spans="1:16" x14ac:dyDescent="0.35">
      <c r="A164" s="2" t="s">
        <v>40</v>
      </c>
      <c r="B164" s="2">
        <v>785982</v>
      </c>
      <c r="C164" s="2">
        <v>360</v>
      </c>
      <c r="D164" s="2">
        <v>2881297</v>
      </c>
      <c r="E164" s="2" t="s">
        <v>187</v>
      </c>
      <c r="F164" s="6" t="s">
        <v>116</v>
      </c>
      <c r="G164" s="6" t="s">
        <v>122</v>
      </c>
      <c r="H164" s="2">
        <v>3796</v>
      </c>
      <c r="I164" s="2" t="s">
        <v>68</v>
      </c>
      <c r="J164" s="2">
        <v>190.67</v>
      </c>
      <c r="K164" s="2">
        <v>1.0860099999999999</v>
      </c>
      <c r="L164" s="2" t="s">
        <v>65</v>
      </c>
      <c r="M164" s="2" t="s">
        <v>151</v>
      </c>
      <c r="N164" s="2">
        <f t="shared" ca="1" si="6"/>
        <v>6</v>
      </c>
      <c r="O164" s="6">
        <f t="shared" ca="1" si="7"/>
        <v>45456</v>
      </c>
      <c r="P164" s="2">
        <f t="shared" ca="1" si="8"/>
        <v>1</v>
      </c>
    </row>
    <row r="165" spans="1:16" x14ac:dyDescent="0.35">
      <c r="A165" s="2" t="s">
        <v>36</v>
      </c>
      <c r="B165" s="2">
        <v>785976</v>
      </c>
      <c r="C165" s="2">
        <v>360</v>
      </c>
      <c r="D165" s="2">
        <v>2881311</v>
      </c>
      <c r="E165" s="2" t="s">
        <v>168</v>
      </c>
      <c r="F165" s="6" t="s">
        <v>116</v>
      </c>
      <c r="G165" s="6" t="s">
        <v>122</v>
      </c>
      <c r="H165" s="2">
        <v>7000</v>
      </c>
      <c r="I165" s="2" t="s">
        <v>68</v>
      </c>
      <c r="J165" s="2">
        <v>171</v>
      </c>
      <c r="K165" s="2">
        <v>1.0820099999999999</v>
      </c>
      <c r="L165" s="2" t="s">
        <v>65</v>
      </c>
      <c r="M165" s="2" t="s">
        <v>181</v>
      </c>
      <c r="N165" s="2">
        <f t="shared" ca="1" si="6"/>
        <v>6</v>
      </c>
      <c r="O165" s="6">
        <f t="shared" ca="1" si="7"/>
        <v>45456</v>
      </c>
      <c r="P165" s="2">
        <f t="shared" ca="1" si="8"/>
        <v>1</v>
      </c>
    </row>
    <row r="166" spans="1:16" x14ac:dyDescent="0.35">
      <c r="A166" s="2" t="s">
        <v>36</v>
      </c>
      <c r="B166" s="2">
        <v>785961</v>
      </c>
      <c r="C166" s="2">
        <v>360</v>
      </c>
      <c r="D166" s="2">
        <v>2881331</v>
      </c>
      <c r="E166" s="2" t="s">
        <v>168</v>
      </c>
      <c r="F166" s="6" t="s">
        <v>116</v>
      </c>
      <c r="G166" s="6" t="s">
        <v>122</v>
      </c>
      <c r="H166" s="2">
        <v>6998</v>
      </c>
      <c r="I166" s="2" t="s">
        <v>68</v>
      </c>
      <c r="J166" s="2">
        <v>171</v>
      </c>
      <c r="K166" s="2">
        <v>1.0820099999999999</v>
      </c>
      <c r="L166" s="2" t="s">
        <v>65</v>
      </c>
      <c r="M166" s="2" t="s">
        <v>181</v>
      </c>
      <c r="N166" s="2">
        <f t="shared" ca="1" si="6"/>
        <v>6</v>
      </c>
      <c r="O166" s="6">
        <f t="shared" ca="1" si="7"/>
        <v>45456</v>
      </c>
      <c r="P166" s="2">
        <f t="shared" ca="1" si="8"/>
        <v>1</v>
      </c>
    </row>
    <row r="167" spans="1:16" x14ac:dyDescent="0.35">
      <c r="A167" s="2" t="s">
        <v>40</v>
      </c>
      <c r="B167" s="2">
        <v>785944</v>
      </c>
      <c r="C167" s="2">
        <v>360</v>
      </c>
      <c r="D167" s="2">
        <v>2881223</v>
      </c>
      <c r="E167" s="2" t="s">
        <v>199</v>
      </c>
      <c r="F167" s="6" t="s">
        <v>116</v>
      </c>
      <c r="G167" s="6" t="s">
        <v>122</v>
      </c>
      <c r="H167" s="2">
        <v>157184</v>
      </c>
      <c r="I167" s="2" t="s">
        <v>68</v>
      </c>
      <c r="J167" s="2">
        <v>20890.080000000002</v>
      </c>
      <c r="K167" s="2">
        <v>1.07301</v>
      </c>
      <c r="L167" s="2" t="s">
        <v>65</v>
      </c>
      <c r="M167" s="2" t="s">
        <v>80</v>
      </c>
      <c r="N167" s="2">
        <f t="shared" ca="1" si="6"/>
        <v>6</v>
      </c>
      <c r="O167" s="6">
        <f t="shared" ca="1" si="7"/>
        <v>45456</v>
      </c>
      <c r="P167" s="2">
        <f t="shared" ca="1" si="8"/>
        <v>1</v>
      </c>
    </row>
    <row r="168" spans="1:16" x14ac:dyDescent="0.35">
      <c r="A168" s="2" t="s">
        <v>38</v>
      </c>
      <c r="B168" s="2">
        <v>785750</v>
      </c>
      <c r="C168" s="2">
        <v>360</v>
      </c>
      <c r="D168" s="2">
        <v>2890977</v>
      </c>
      <c r="E168" s="2" t="s">
        <v>584</v>
      </c>
      <c r="F168" s="6" t="s">
        <v>129</v>
      </c>
      <c r="G168" s="6" t="s">
        <v>122</v>
      </c>
      <c r="H168" s="2">
        <v>37556</v>
      </c>
      <c r="I168" s="2" t="s">
        <v>79</v>
      </c>
      <c r="J168" s="2">
        <v>462</v>
      </c>
      <c r="K168" s="2">
        <v>1.0740099999999999</v>
      </c>
      <c r="L168" s="2" t="s">
        <v>76</v>
      </c>
      <c r="M168" s="2" t="s">
        <v>105</v>
      </c>
      <c r="N168" s="2">
        <f t="shared" ca="1" si="6"/>
        <v>6</v>
      </c>
      <c r="O168" s="6">
        <f t="shared" ca="1" si="7"/>
        <v>45456</v>
      </c>
      <c r="P168" s="2">
        <f t="shared" ca="1" si="8"/>
        <v>1</v>
      </c>
    </row>
    <row r="169" spans="1:16" x14ac:dyDescent="0.35">
      <c r="A169" s="2" t="s">
        <v>36</v>
      </c>
      <c r="B169" s="2">
        <v>784598</v>
      </c>
      <c r="C169" s="2">
        <v>360</v>
      </c>
      <c r="D169" s="2">
        <v>2890801</v>
      </c>
      <c r="E169" s="2" t="s">
        <v>585</v>
      </c>
      <c r="F169" s="6" t="s">
        <v>129</v>
      </c>
      <c r="G169" s="6" t="s">
        <v>122</v>
      </c>
      <c r="H169" s="2">
        <v>43951556</v>
      </c>
      <c r="I169" s="2" t="s">
        <v>79</v>
      </c>
      <c r="J169" s="2">
        <v>2240</v>
      </c>
      <c r="K169" s="2">
        <v>1.0740099999999999</v>
      </c>
      <c r="L169" s="2" t="s">
        <v>76</v>
      </c>
      <c r="M169" s="2" t="s">
        <v>105</v>
      </c>
      <c r="N169" s="2">
        <f t="shared" ca="1" si="6"/>
        <v>6</v>
      </c>
      <c r="O169" s="6">
        <f t="shared" ca="1" si="7"/>
        <v>45456</v>
      </c>
      <c r="P169" s="2">
        <f t="shared" ca="1" si="8"/>
        <v>1</v>
      </c>
    </row>
    <row r="170" spans="1:16" x14ac:dyDescent="0.35">
      <c r="A170" s="2" t="s">
        <v>42</v>
      </c>
      <c r="B170" s="2">
        <v>784582</v>
      </c>
      <c r="C170" s="2">
        <v>360</v>
      </c>
      <c r="D170" s="2">
        <v>2878737</v>
      </c>
      <c r="E170" s="2" t="s">
        <v>430</v>
      </c>
      <c r="F170" s="6" t="s">
        <v>129</v>
      </c>
      <c r="G170" s="6" t="s">
        <v>122</v>
      </c>
      <c r="H170" s="2">
        <v>17514</v>
      </c>
      <c r="I170" s="2" t="s">
        <v>79</v>
      </c>
      <c r="J170" s="2">
        <v>1196</v>
      </c>
      <c r="K170" s="2">
        <v>1.0480100000000001</v>
      </c>
      <c r="L170" s="2" t="s">
        <v>65</v>
      </c>
      <c r="M170" s="2" t="s">
        <v>75</v>
      </c>
      <c r="N170" s="2">
        <f t="shared" ca="1" si="6"/>
        <v>6</v>
      </c>
      <c r="O170" s="6">
        <f t="shared" ca="1" si="7"/>
        <v>45456</v>
      </c>
      <c r="P170" s="2">
        <f t="shared" ca="1" si="8"/>
        <v>1</v>
      </c>
    </row>
    <row r="171" spans="1:16" x14ac:dyDescent="0.35">
      <c r="A171" s="2" t="s">
        <v>40</v>
      </c>
      <c r="B171" s="2">
        <v>784409</v>
      </c>
      <c r="C171" s="2">
        <v>360</v>
      </c>
      <c r="D171" s="2">
        <v>2877374</v>
      </c>
      <c r="E171" s="2" t="s">
        <v>200</v>
      </c>
      <c r="F171" s="6" t="s">
        <v>129</v>
      </c>
      <c r="G171" s="6" t="s">
        <v>122</v>
      </c>
      <c r="H171" s="2">
        <v>130</v>
      </c>
      <c r="I171" s="2" t="s">
        <v>201</v>
      </c>
      <c r="J171" s="2">
        <v>786</v>
      </c>
      <c r="K171" s="2">
        <v>1.0740099999999999</v>
      </c>
      <c r="L171" s="2" t="s">
        <v>65</v>
      </c>
      <c r="M171" s="2" t="s">
        <v>105</v>
      </c>
      <c r="N171" s="2">
        <f t="shared" ca="1" si="6"/>
        <v>6</v>
      </c>
      <c r="O171" s="6">
        <f t="shared" ca="1" si="7"/>
        <v>45456</v>
      </c>
      <c r="P171" s="2">
        <f t="shared" ca="1" si="8"/>
        <v>1</v>
      </c>
    </row>
    <row r="172" spans="1:16" x14ac:dyDescent="0.35">
      <c r="A172" s="2" t="s">
        <v>38</v>
      </c>
      <c r="B172" s="2">
        <v>784396</v>
      </c>
      <c r="C172" s="2">
        <v>360</v>
      </c>
      <c r="D172" s="2">
        <v>2877088</v>
      </c>
      <c r="E172" s="2" t="s">
        <v>431</v>
      </c>
      <c r="F172" s="6" t="s">
        <v>129</v>
      </c>
      <c r="G172" s="6" t="s">
        <v>122</v>
      </c>
      <c r="H172" s="2">
        <v>1395</v>
      </c>
      <c r="I172" s="2" t="s">
        <v>79</v>
      </c>
      <c r="J172" s="2">
        <v>6157.82</v>
      </c>
      <c r="K172" s="2">
        <v>1.0740099999999999</v>
      </c>
      <c r="L172" s="2" t="s">
        <v>65</v>
      </c>
      <c r="M172" s="2" t="s">
        <v>105</v>
      </c>
      <c r="N172" s="2">
        <f t="shared" ca="1" si="6"/>
        <v>6</v>
      </c>
      <c r="O172" s="6">
        <f t="shared" ca="1" si="7"/>
        <v>45456</v>
      </c>
      <c r="P172" s="2">
        <f t="shared" ca="1" si="8"/>
        <v>1</v>
      </c>
    </row>
    <row r="173" spans="1:16" x14ac:dyDescent="0.35">
      <c r="A173" s="2" t="s">
        <v>36</v>
      </c>
      <c r="B173" s="2">
        <v>783738</v>
      </c>
      <c r="C173" s="2">
        <v>360</v>
      </c>
      <c r="D173" s="2">
        <v>2876649</v>
      </c>
      <c r="E173" s="2" t="s">
        <v>586</v>
      </c>
      <c r="F173" s="6" t="s">
        <v>139</v>
      </c>
      <c r="G173" s="6" t="s">
        <v>122</v>
      </c>
      <c r="H173" s="2">
        <v>1009</v>
      </c>
      <c r="I173" s="2" t="s">
        <v>79</v>
      </c>
      <c r="J173" s="2">
        <v>781.3</v>
      </c>
      <c r="K173" s="2">
        <v>1.0620099999999999</v>
      </c>
      <c r="L173" s="2" t="s">
        <v>76</v>
      </c>
      <c r="M173" s="2" t="s">
        <v>176</v>
      </c>
      <c r="N173" s="2">
        <f t="shared" ca="1" si="6"/>
        <v>6</v>
      </c>
      <c r="O173" s="6">
        <f t="shared" ca="1" si="7"/>
        <v>45456</v>
      </c>
      <c r="P173" s="2">
        <f t="shared" ca="1" si="8"/>
        <v>1</v>
      </c>
    </row>
    <row r="174" spans="1:16" x14ac:dyDescent="0.35">
      <c r="A174" s="2" t="s">
        <v>42</v>
      </c>
      <c r="B174" s="2">
        <v>781676</v>
      </c>
      <c r="C174" s="2">
        <v>360</v>
      </c>
      <c r="D174" s="2">
        <v>2872075</v>
      </c>
      <c r="E174" s="2" t="s">
        <v>587</v>
      </c>
      <c r="F174" s="6" t="s">
        <v>135</v>
      </c>
      <c r="G174" s="6" t="s">
        <v>122</v>
      </c>
      <c r="H174" s="2">
        <v>55</v>
      </c>
      <c r="I174" s="2" t="s">
        <v>68</v>
      </c>
      <c r="J174" s="2">
        <v>16000</v>
      </c>
      <c r="K174" s="2">
        <v>1.0010399999999999</v>
      </c>
      <c r="L174" s="2" t="s">
        <v>65</v>
      </c>
      <c r="M174" s="2" t="s">
        <v>86</v>
      </c>
      <c r="N174" s="2">
        <f t="shared" ca="1" si="6"/>
        <v>6</v>
      </c>
      <c r="O174" s="6">
        <f t="shared" ca="1" si="7"/>
        <v>45456</v>
      </c>
      <c r="P174" s="2">
        <f t="shared" ca="1" si="8"/>
        <v>1</v>
      </c>
    </row>
    <row r="175" spans="1:16" x14ac:dyDescent="0.35">
      <c r="A175" s="2" t="s">
        <v>40</v>
      </c>
      <c r="B175" s="2">
        <v>780989</v>
      </c>
      <c r="C175" s="2">
        <v>360</v>
      </c>
      <c r="D175" s="2">
        <v>2869597</v>
      </c>
      <c r="E175" s="2" t="s">
        <v>432</v>
      </c>
      <c r="F175" s="6" t="s">
        <v>135</v>
      </c>
      <c r="G175" s="6" t="s">
        <v>122</v>
      </c>
      <c r="H175" s="2">
        <v>202477</v>
      </c>
      <c r="I175" s="2" t="s">
        <v>416</v>
      </c>
      <c r="J175" s="2">
        <v>2774.26</v>
      </c>
      <c r="K175" s="2">
        <v>1.06501</v>
      </c>
      <c r="L175" s="2" t="s">
        <v>65</v>
      </c>
      <c r="M175" s="2" t="s">
        <v>145</v>
      </c>
      <c r="N175" s="2">
        <f t="shared" ca="1" si="6"/>
        <v>6</v>
      </c>
      <c r="O175" s="6">
        <f t="shared" ca="1" si="7"/>
        <v>45456</v>
      </c>
      <c r="P175" s="2">
        <f t="shared" ca="1" si="8"/>
        <v>1</v>
      </c>
    </row>
    <row r="176" spans="1:16" x14ac:dyDescent="0.35">
      <c r="A176" s="2" t="s">
        <v>38</v>
      </c>
      <c r="B176" s="2">
        <v>780825</v>
      </c>
      <c r="C176" s="2">
        <v>360</v>
      </c>
      <c r="D176" s="2">
        <v>2868589</v>
      </c>
      <c r="E176" s="2" t="s">
        <v>588</v>
      </c>
      <c r="F176" s="6" t="s">
        <v>111</v>
      </c>
      <c r="G176" s="6" t="s">
        <v>122</v>
      </c>
      <c r="H176" s="2">
        <v>89</v>
      </c>
      <c r="I176" s="2" t="s">
        <v>79</v>
      </c>
      <c r="J176" s="2">
        <v>600</v>
      </c>
      <c r="K176" s="2">
        <v>1.07301</v>
      </c>
      <c r="L176" s="2" t="s">
        <v>65</v>
      </c>
      <c r="M176" s="2" t="s">
        <v>80</v>
      </c>
      <c r="N176" s="2">
        <f t="shared" ca="1" si="6"/>
        <v>6</v>
      </c>
      <c r="O176" s="6">
        <f t="shared" ca="1" si="7"/>
        <v>45456</v>
      </c>
      <c r="P176" s="2">
        <f t="shared" ca="1" si="8"/>
        <v>1</v>
      </c>
    </row>
    <row r="177" spans="1:16" x14ac:dyDescent="0.35">
      <c r="A177" s="2" t="s">
        <v>36</v>
      </c>
      <c r="B177" s="2">
        <v>790911</v>
      </c>
      <c r="C177" s="2">
        <v>360</v>
      </c>
      <c r="D177" s="2">
        <v>2891219</v>
      </c>
      <c r="E177" s="2" t="s">
        <v>589</v>
      </c>
      <c r="F177" s="6" t="s">
        <v>74</v>
      </c>
      <c r="G177" s="6" t="s">
        <v>117</v>
      </c>
      <c r="H177" s="2">
        <v>202471</v>
      </c>
      <c r="I177" s="2" t="s">
        <v>68</v>
      </c>
      <c r="J177" s="2">
        <v>7500</v>
      </c>
      <c r="K177" s="2">
        <v>1.0740099999999999</v>
      </c>
      <c r="L177" s="2" t="s">
        <v>65</v>
      </c>
      <c r="M177" s="2" t="s">
        <v>105</v>
      </c>
      <c r="N177" s="2">
        <f t="shared" ca="1" si="6"/>
        <v>7</v>
      </c>
      <c r="O177" s="6">
        <f t="shared" ca="1" si="7"/>
        <v>45456</v>
      </c>
      <c r="P177" s="2">
        <f t="shared" ca="1" si="8"/>
        <v>1</v>
      </c>
    </row>
    <row r="178" spans="1:16" x14ac:dyDescent="0.35">
      <c r="A178" s="2" t="s">
        <v>40</v>
      </c>
      <c r="B178" s="2">
        <v>789560</v>
      </c>
      <c r="C178" s="2">
        <v>360</v>
      </c>
      <c r="D178" s="2">
        <v>2890147</v>
      </c>
      <c r="E178" s="2" t="s">
        <v>189</v>
      </c>
      <c r="F178" s="6" t="s">
        <v>124</v>
      </c>
      <c r="G178" s="6" t="s">
        <v>115</v>
      </c>
      <c r="H178" s="2">
        <v>54993</v>
      </c>
      <c r="I178" s="2" t="s">
        <v>79</v>
      </c>
      <c r="J178" s="2">
        <v>485.76</v>
      </c>
      <c r="K178" s="2">
        <v>1.01702</v>
      </c>
      <c r="L178" s="2" t="s">
        <v>76</v>
      </c>
      <c r="M178" s="2" t="s">
        <v>190</v>
      </c>
      <c r="N178" s="2">
        <f t="shared" ca="1" si="6"/>
        <v>8</v>
      </c>
      <c r="O178" s="6">
        <f t="shared" ca="1" si="7"/>
        <v>45456</v>
      </c>
      <c r="P178" s="2">
        <f t="shared" ca="1" si="8"/>
        <v>1</v>
      </c>
    </row>
    <row r="179" spans="1:16" x14ac:dyDescent="0.35">
      <c r="A179" s="2" t="s">
        <v>42</v>
      </c>
      <c r="B179" s="2">
        <v>787423</v>
      </c>
      <c r="C179" s="2">
        <v>360</v>
      </c>
      <c r="D179" s="2">
        <v>2884564</v>
      </c>
      <c r="E179" s="2" t="s">
        <v>590</v>
      </c>
      <c r="F179" s="6" t="s">
        <v>78</v>
      </c>
      <c r="G179" s="6" t="s">
        <v>117</v>
      </c>
      <c r="H179" s="2">
        <v>63</v>
      </c>
      <c r="I179" s="2" t="s">
        <v>79</v>
      </c>
      <c r="J179" s="2">
        <v>2200</v>
      </c>
      <c r="K179" s="2">
        <v>1.01501</v>
      </c>
      <c r="L179" s="2" t="s">
        <v>65</v>
      </c>
      <c r="M179" s="2" t="s">
        <v>475</v>
      </c>
      <c r="N179" s="2">
        <f t="shared" ca="1" si="6"/>
        <v>7</v>
      </c>
      <c r="O179" s="6">
        <f t="shared" ca="1" si="7"/>
        <v>45456</v>
      </c>
      <c r="P179" s="2">
        <f t="shared" ca="1" si="8"/>
        <v>1</v>
      </c>
    </row>
    <row r="180" spans="1:16" x14ac:dyDescent="0.35">
      <c r="A180" s="2" t="s">
        <v>40</v>
      </c>
      <c r="B180" s="2">
        <v>786658</v>
      </c>
      <c r="C180" s="2">
        <v>360</v>
      </c>
      <c r="D180" s="2">
        <v>2882851</v>
      </c>
      <c r="E180" s="2" t="s">
        <v>591</v>
      </c>
      <c r="F180" s="6" t="s">
        <v>116</v>
      </c>
      <c r="G180" s="6" t="s">
        <v>117</v>
      </c>
      <c r="H180" s="2">
        <v>722</v>
      </c>
      <c r="I180" s="2" t="s">
        <v>79</v>
      </c>
      <c r="J180" s="2">
        <v>628.79999999999995</v>
      </c>
      <c r="K180" s="2">
        <v>1.0620099999999999</v>
      </c>
      <c r="L180" s="2" t="s">
        <v>76</v>
      </c>
      <c r="M180" s="2" t="s">
        <v>176</v>
      </c>
      <c r="N180" s="2">
        <f t="shared" ca="1" si="6"/>
        <v>7</v>
      </c>
      <c r="O180" s="6">
        <f t="shared" ca="1" si="7"/>
        <v>45456</v>
      </c>
      <c r="P180" s="2">
        <f t="shared" ca="1" si="8"/>
        <v>1</v>
      </c>
    </row>
    <row r="181" spans="1:16" x14ac:dyDescent="0.35">
      <c r="A181" s="2" t="s">
        <v>38</v>
      </c>
      <c r="B181" s="2">
        <v>786149</v>
      </c>
      <c r="C181" s="2">
        <v>360</v>
      </c>
      <c r="D181" s="2">
        <v>2882603</v>
      </c>
      <c r="E181" s="2" t="s">
        <v>592</v>
      </c>
      <c r="F181" s="6" t="s">
        <v>116</v>
      </c>
      <c r="G181" s="6" t="s">
        <v>117</v>
      </c>
      <c r="H181" s="2">
        <v>92823</v>
      </c>
      <c r="I181" s="2" t="s">
        <v>68</v>
      </c>
      <c r="J181" s="2">
        <v>4216.38</v>
      </c>
      <c r="K181" s="2">
        <v>1.0010399999999999</v>
      </c>
      <c r="L181" s="2" t="s">
        <v>65</v>
      </c>
      <c r="M181" s="2" t="s">
        <v>86</v>
      </c>
      <c r="N181" s="2">
        <f t="shared" ca="1" si="6"/>
        <v>7</v>
      </c>
      <c r="O181" s="6">
        <f t="shared" ca="1" si="7"/>
        <v>45456</v>
      </c>
      <c r="P181" s="2">
        <f t="shared" ca="1" si="8"/>
        <v>1</v>
      </c>
    </row>
    <row r="182" spans="1:16" x14ac:dyDescent="0.35">
      <c r="A182" s="2" t="s">
        <v>36</v>
      </c>
      <c r="B182" s="2">
        <v>783187</v>
      </c>
      <c r="C182" s="2">
        <v>360</v>
      </c>
      <c r="D182" s="2">
        <v>2876200</v>
      </c>
      <c r="E182" s="2" t="s">
        <v>593</v>
      </c>
      <c r="F182" s="6" t="s">
        <v>139</v>
      </c>
      <c r="G182" s="6" t="s">
        <v>117</v>
      </c>
      <c r="H182" s="2">
        <v>32162</v>
      </c>
      <c r="I182" s="2" t="s">
        <v>79</v>
      </c>
      <c r="J182" s="2">
        <v>713.64</v>
      </c>
      <c r="K182" s="2">
        <v>1.03901</v>
      </c>
      <c r="L182" s="2" t="s">
        <v>143</v>
      </c>
      <c r="M182" s="2" t="s">
        <v>186</v>
      </c>
      <c r="N182" s="2">
        <f t="shared" ca="1" si="6"/>
        <v>7</v>
      </c>
      <c r="O182" s="6">
        <f t="shared" ca="1" si="7"/>
        <v>45456</v>
      </c>
      <c r="P182" s="2">
        <f t="shared" ca="1" si="8"/>
        <v>1</v>
      </c>
    </row>
    <row r="183" spans="1:16" x14ac:dyDescent="0.35">
      <c r="A183" s="2" t="s">
        <v>42</v>
      </c>
      <c r="B183" s="2">
        <v>790901</v>
      </c>
      <c r="C183" s="2">
        <v>360</v>
      </c>
      <c r="D183" s="2">
        <v>2891024</v>
      </c>
      <c r="E183" s="2" t="s">
        <v>594</v>
      </c>
      <c r="F183" s="6" t="s">
        <v>124</v>
      </c>
      <c r="G183" s="6" t="s">
        <v>173</v>
      </c>
      <c r="H183" s="2">
        <v>202496906</v>
      </c>
      <c r="I183" s="2" t="s">
        <v>68</v>
      </c>
      <c r="J183" s="2">
        <v>3841.25</v>
      </c>
      <c r="K183" s="2">
        <v>1.06501</v>
      </c>
      <c r="L183" s="2" t="s">
        <v>65</v>
      </c>
      <c r="M183" s="2" t="s">
        <v>145</v>
      </c>
      <c r="N183" s="2">
        <f t="shared" ca="1" si="6"/>
        <v>9</v>
      </c>
      <c r="O183" s="6">
        <f t="shared" ca="1" si="7"/>
        <v>45456</v>
      </c>
      <c r="P183" s="2">
        <f t="shared" ca="1" si="8"/>
        <v>1</v>
      </c>
    </row>
    <row r="184" spans="1:16" x14ac:dyDescent="0.35">
      <c r="A184" s="2" t="s">
        <v>40</v>
      </c>
      <c r="B184" s="2">
        <v>790956</v>
      </c>
      <c r="C184" s="2">
        <v>360</v>
      </c>
      <c r="D184" s="2">
        <v>2891534</v>
      </c>
      <c r="E184" s="2" t="s">
        <v>595</v>
      </c>
      <c r="F184" s="6" t="s">
        <v>124</v>
      </c>
      <c r="G184" s="6" t="s">
        <v>115</v>
      </c>
      <c r="H184" s="2">
        <v>1922</v>
      </c>
      <c r="I184" s="2" t="s">
        <v>79</v>
      </c>
      <c r="J184" s="2">
        <v>1650</v>
      </c>
      <c r="K184" s="2">
        <v>1.0740099999999999</v>
      </c>
      <c r="L184" s="2" t="s">
        <v>65</v>
      </c>
      <c r="M184" s="2" t="s">
        <v>105</v>
      </c>
      <c r="N184" s="2">
        <f t="shared" ca="1" si="6"/>
        <v>8</v>
      </c>
      <c r="O184" s="6">
        <f t="shared" ca="1" si="7"/>
        <v>45456</v>
      </c>
      <c r="P184" s="2">
        <f t="shared" ca="1" si="8"/>
        <v>1</v>
      </c>
    </row>
    <row r="185" spans="1:16" x14ac:dyDescent="0.35">
      <c r="A185" s="2" t="s">
        <v>38</v>
      </c>
      <c r="B185" s="2">
        <v>789232</v>
      </c>
      <c r="C185" s="2">
        <v>360</v>
      </c>
      <c r="D185" s="2">
        <v>2889471</v>
      </c>
      <c r="E185" s="2" t="s">
        <v>596</v>
      </c>
      <c r="F185" s="6" t="s">
        <v>124</v>
      </c>
      <c r="G185" s="6" t="s">
        <v>115</v>
      </c>
      <c r="H185" s="2">
        <v>10308</v>
      </c>
      <c r="I185" s="2" t="s">
        <v>79</v>
      </c>
      <c r="J185" s="2">
        <v>3045</v>
      </c>
      <c r="K185" s="2">
        <v>1.06501</v>
      </c>
      <c r="L185" s="2" t="s">
        <v>65</v>
      </c>
      <c r="M185" s="2" t="s">
        <v>145</v>
      </c>
      <c r="N185" s="2">
        <f t="shared" ca="1" si="6"/>
        <v>8</v>
      </c>
      <c r="O185" s="6">
        <f t="shared" ca="1" si="7"/>
        <v>45456</v>
      </c>
      <c r="P185" s="2">
        <f t="shared" ca="1" si="8"/>
        <v>1</v>
      </c>
    </row>
    <row r="186" spans="1:16" x14ac:dyDescent="0.35">
      <c r="A186" s="2" t="s">
        <v>36</v>
      </c>
      <c r="B186" s="2">
        <v>784594</v>
      </c>
      <c r="C186" s="2">
        <v>360</v>
      </c>
      <c r="D186" s="2">
        <v>2878968</v>
      </c>
      <c r="E186" s="2" t="s">
        <v>597</v>
      </c>
      <c r="F186" s="6" t="s">
        <v>129</v>
      </c>
      <c r="G186" s="6" t="s">
        <v>115</v>
      </c>
      <c r="H186" s="2">
        <v>2024444</v>
      </c>
      <c r="I186" s="2" t="s">
        <v>68</v>
      </c>
      <c r="J186" s="2">
        <v>1304.2</v>
      </c>
      <c r="K186" s="2">
        <v>1.0620099999999999</v>
      </c>
      <c r="L186" s="2" t="s">
        <v>65</v>
      </c>
      <c r="M186" s="2" t="s">
        <v>176</v>
      </c>
      <c r="N186" s="2">
        <f t="shared" ca="1" si="6"/>
        <v>8</v>
      </c>
      <c r="O186" s="6">
        <f t="shared" ca="1" si="7"/>
        <v>45456</v>
      </c>
      <c r="P186" s="2">
        <f t="shared" ca="1" si="8"/>
        <v>1</v>
      </c>
    </row>
    <row r="187" spans="1:16" x14ac:dyDescent="0.35">
      <c r="A187" s="2" t="s">
        <v>42</v>
      </c>
      <c r="B187" s="2">
        <v>781816</v>
      </c>
      <c r="C187" s="2">
        <v>360</v>
      </c>
      <c r="D187" s="2">
        <v>2872864</v>
      </c>
      <c r="E187" s="2" t="s">
        <v>165</v>
      </c>
      <c r="F187" s="6" t="s">
        <v>135</v>
      </c>
      <c r="G187" s="6" t="s">
        <v>115</v>
      </c>
      <c r="H187" s="2">
        <v>20241719</v>
      </c>
      <c r="I187" s="2" t="s">
        <v>79</v>
      </c>
      <c r="J187" s="2">
        <v>787.5</v>
      </c>
      <c r="K187" s="2">
        <v>1.0860099999999999</v>
      </c>
      <c r="L187" s="2" t="s">
        <v>65</v>
      </c>
      <c r="M187" s="2" t="s">
        <v>151</v>
      </c>
      <c r="N187" s="2">
        <f t="shared" ca="1" si="6"/>
        <v>8</v>
      </c>
      <c r="O187" s="6">
        <f t="shared" ca="1" si="7"/>
        <v>45456</v>
      </c>
      <c r="P187" s="2">
        <f t="shared" ca="1" si="8"/>
        <v>1</v>
      </c>
    </row>
    <row r="188" spans="1:16" x14ac:dyDescent="0.35">
      <c r="A188" s="2" t="s">
        <v>40</v>
      </c>
      <c r="B188" s="2">
        <v>790905</v>
      </c>
      <c r="C188" s="2">
        <v>360</v>
      </c>
      <c r="D188" s="2">
        <v>2891202</v>
      </c>
      <c r="E188" s="2" t="s">
        <v>598</v>
      </c>
      <c r="F188" s="6" t="s">
        <v>74</v>
      </c>
      <c r="G188" s="6" t="s">
        <v>173</v>
      </c>
      <c r="H188" s="2">
        <v>4329</v>
      </c>
      <c r="I188" s="2" t="s">
        <v>68</v>
      </c>
      <c r="J188" s="2">
        <v>3472</v>
      </c>
      <c r="K188" s="2">
        <v>1.0010399999999999</v>
      </c>
      <c r="L188" s="2" t="s">
        <v>65</v>
      </c>
      <c r="M188" s="2" t="s">
        <v>86</v>
      </c>
      <c r="N188" s="2">
        <f t="shared" ca="1" si="6"/>
        <v>9</v>
      </c>
      <c r="O188" s="6">
        <f t="shared" ca="1" si="7"/>
        <v>45456</v>
      </c>
      <c r="P188" s="2">
        <f t="shared" ca="1" si="8"/>
        <v>1</v>
      </c>
    </row>
    <row r="189" spans="1:16" x14ac:dyDescent="0.35">
      <c r="A189" s="2" t="s">
        <v>40</v>
      </c>
      <c r="B189" s="2">
        <v>790903</v>
      </c>
      <c r="C189" s="2">
        <v>360</v>
      </c>
      <c r="D189" s="2">
        <v>2891100</v>
      </c>
      <c r="E189" s="2" t="s">
        <v>598</v>
      </c>
      <c r="F189" s="6" t="s">
        <v>74</v>
      </c>
      <c r="G189" s="6" t="s">
        <v>173</v>
      </c>
      <c r="H189" s="2">
        <v>4328</v>
      </c>
      <c r="I189" s="2" t="s">
        <v>68</v>
      </c>
      <c r="J189" s="2">
        <v>672</v>
      </c>
      <c r="K189" s="2">
        <v>1.0010399999999999</v>
      </c>
      <c r="L189" s="2" t="s">
        <v>65</v>
      </c>
      <c r="M189" s="2" t="s">
        <v>86</v>
      </c>
      <c r="N189" s="2">
        <f t="shared" ca="1" si="6"/>
        <v>9</v>
      </c>
      <c r="O189" s="6">
        <f t="shared" ca="1" si="7"/>
        <v>45456</v>
      </c>
      <c r="P189" s="2">
        <f t="shared" ca="1" si="8"/>
        <v>1</v>
      </c>
    </row>
    <row r="190" spans="1:16" x14ac:dyDescent="0.35">
      <c r="A190" s="2" t="s">
        <v>38</v>
      </c>
      <c r="B190" s="2">
        <v>790902</v>
      </c>
      <c r="C190" s="2">
        <v>360</v>
      </c>
      <c r="D190" s="2">
        <v>2891088</v>
      </c>
      <c r="E190" s="2" t="s">
        <v>599</v>
      </c>
      <c r="F190" s="6" t="s">
        <v>124</v>
      </c>
      <c r="G190" s="6" t="s">
        <v>173</v>
      </c>
      <c r="H190" s="2">
        <v>202412031</v>
      </c>
      <c r="I190" s="2" t="s">
        <v>68</v>
      </c>
      <c r="J190" s="2">
        <v>1470.74</v>
      </c>
      <c r="K190" s="2">
        <v>1.02901</v>
      </c>
      <c r="L190" s="2" t="s">
        <v>65</v>
      </c>
      <c r="M190" s="2" t="s">
        <v>119</v>
      </c>
      <c r="N190" s="2">
        <f t="shared" ca="1" si="6"/>
        <v>9</v>
      </c>
      <c r="O190" s="6">
        <f t="shared" ca="1" si="7"/>
        <v>45456</v>
      </c>
      <c r="P190" s="2">
        <f t="shared" ca="1" si="8"/>
        <v>1</v>
      </c>
    </row>
    <row r="191" spans="1:16" x14ac:dyDescent="0.35">
      <c r="A191" s="2" t="s">
        <v>36</v>
      </c>
      <c r="B191" s="2">
        <v>789101</v>
      </c>
      <c r="C191" s="2">
        <v>360</v>
      </c>
      <c r="D191" s="2">
        <v>2889332</v>
      </c>
      <c r="E191" s="2" t="s">
        <v>205</v>
      </c>
      <c r="F191" s="6" t="s">
        <v>124</v>
      </c>
      <c r="G191" s="6" t="s">
        <v>173</v>
      </c>
      <c r="H191" s="2">
        <v>20241311</v>
      </c>
      <c r="I191" s="2" t="s">
        <v>68</v>
      </c>
      <c r="J191" s="2">
        <v>350</v>
      </c>
      <c r="K191" s="2">
        <v>1.1020099999999999</v>
      </c>
      <c r="L191" s="2" t="s">
        <v>65</v>
      </c>
      <c r="M191" s="2" t="s">
        <v>161</v>
      </c>
      <c r="N191" s="2">
        <f t="shared" ca="1" si="6"/>
        <v>9</v>
      </c>
      <c r="O191" s="6">
        <f t="shared" ca="1" si="7"/>
        <v>45456</v>
      </c>
      <c r="P191" s="2">
        <f t="shared" ca="1" si="8"/>
        <v>1</v>
      </c>
    </row>
    <row r="192" spans="1:16" x14ac:dyDescent="0.35">
      <c r="A192" s="2" t="s">
        <v>42</v>
      </c>
      <c r="B192" s="2">
        <v>789080</v>
      </c>
      <c r="C192" s="2">
        <v>360</v>
      </c>
      <c r="D192" s="2">
        <v>2888936</v>
      </c>
      <c r="E192" s="2" t="s">
        <v>157</v>
      </c>
      <c r="F192" s="6" t="s">
        <v>124</v>
      </c>
      <c r="G192" s="6" t="s">
        <v>173</v>
      </c>
      <c r="H192" s="2">
        <v>3974</v>
      </c>
      <c r="I192" s="2" t="s">
        <v>68</v>
      </c>
      <c r="J192" s="2">
        <v>1980.3</v>
      </c>
      <c r="K192" s="2">
        <v>1.0010699999999999</v>
      </c>
      <c r="L192" s="2" t="s">
        <v>65</v>
      </c>
      <c r="M192" s="2" t="s">
        <v>155</v>
      </c>
      <c r="N192" s="2">
        <f t="shared" ca="1" si="6"/>
        <v>9</v>
      </c>
      <c r="O192" s="6">
        <f t="shared" ca="1" si="7"/>
        <v>45456</v>
      </c>
      <c r="P192" s="2">
        <f t="shared" ca="1" si="8"/>
        <v>1</v>
      </c>
    </row>
    <row r="193" spans="1:16" x14ac:dyDescent="0.35">
      <c r="A193" s="2" t="s">
        <v>42</v>
      </c>
      <c r="B193" s="2">
        <v>789077</v>
      </c>
      <c r="C193" s="2">
        <v>360</v>
      </c>
      <c r="D193" s="2">
        <v>2888910</v>
      </c>
      <c r="E193" s="2" t="s">
        <v>157</v>
      </c>
      <c r="F193" s="6" t="s">
        <v>124</v>
      </c>
      <c r="G193" s="6" t="s">
        <v>173</v>
      </c>
      <c r="H193" s="2">
        <v>3972</v>
      </c>
      <c r="I193" s="2" t="s">
        <v>68</v>
      </c>
      <c r="J193" s="2">
        <v>908.6</v>
      </c>
      <c r="K193" s="2">
        <v>1.0480100000000001</v>
      </c>
      <c r="L193" s="2" t="s">
        <v>65</v>
      </c>
      <c r="M193" s="2" t="s">
        <v>75</v>
      </c>
      <c r="N193" s="2">
        <f t="shared" ca="1" si="6"/>
        <v>9</v>
      </c>
      <c r="O193" s="6">
        <f t="shared" ca="1" si="7"/>
        <v>45456</v>
      </c>
      <c r="P193" s="2">
        <f t="shared" ca="1" si="8"/>
        <v>1</v>
      </c>
    </row>
    <row r="194" spans="1:16" x14ac:dyDescent="0.35">
      <c r="A194" s="2" t="s">
        <v>42</v>
      </c>
      <c r="B194" s="2">
        <v>789074</v>
      </c>
      <c r="C194" s="2">
        <v>360</v>
      </c>
      <c r="D194" s="2">
        <v>2888896</v>
      </c>
      <c r="E194" s="2" t="s">
        <v>157</v>
      </c>
      <c r="F194" s="6" t="s">
        <v>124</v>
      </c>
      <c r="G194" s="6" t="s">
        <v>173</v>
      </c>
      <c r="H194" s="2">
        <v>3970</v>
      </c>
      <c r="I194" s="2" t="s">
        <v>68</v>
      </c>
      <c r="J194" s="2">
        <v>908.6</v>
      </c>
      <c r="K194" s="2">
        <v>1.05701</v>
      </c>
      <c r="L194" s="2" t="s">
        <v>65</v>
      </c>
      <c r="M194" s="2" t="s">
        <v>203</v>
      </c>
      <c r="N194" s="2">
        <f t="shared" ca="1" si="6"/>
        <v>9</v>
      </c>
      <c r="O194" s="6">
        <f t="shared" ca="1" si="7"/>
        <v>45456</v>
      </c>
      <c r="P194" s="2">
        <f t="shared" ca="1" si="8"/>
        <v>1</v>
      </c>
    </row>
    <row r="195" spans="1:16" x14ac:dyDescent="0.35">
      <c r="A195" s="2" t="s">
        <v>42</v>
      </c>
      <c r="B195" s="2">
        <v>789072</v>
      </c>
      <c r="C195" s="2">
        <v>360</v>
      </c>
      <c r="D195" s="2">
        <v>2888875</v>
      </c>
      <c r="E195" s="2" t="s">
        <v>157</v>
      </c>
      <c r="F195" s="6" t="s">
        <v>124</v>
      </c>
      <c r="G195" s="6" t="s">
        <v>173</v>
      </c>
      <c r="H195" s="2">
        <v>3968</v>
      </c>
      <c r="I195" s="2" t="s">
        <v>68</v>
      </c>
      <c r="J195" s="2">
        <v>1980.3</v>
      </c>
      <c r="K195" s="2">
        <v>1.00108</v>
      </c>
      <c r="L195" s="2" t="s">
        <v>65</v>
      </c>
      <c r="M195" s="2" t="s">
        <v>185</v>
      </c>
      <c r="N195" s="2">
        <f t="shared" ref="N195:N258" ca="1" si="9">IF(G195 &lt; TODAY(), -NETWORKDAYS(G195, TODAY()), NETWORKDAYS(TODAY(), G195))</f>
        <v>9</v>
      </c>
      <c r="O195" s="6">
        <f t="shared" ref="O195:O258" ca="1" si="10">TODAY()</f>
        <v>45456</v>
      </c>
      <c r="P195" s="2">
        <f t="shared" ref="P195:P258" ca="1" si="11">NETWORKDAYS(O195,TODAY())</f>
        <v>1</v>
      </c>
    </row>
    <row r="196" spans="1:16" x14ac:dyDescent="0.35">
      <c r="A196" s="2" t="s">
        <v>38</v>
      </c>
      <c r="B196" s="2">
        <v>788977</v>
      </c>
      <c r="C196" s="2">
        <v>360</v>
      </c>
      <c r="D196" s="2">
        <v>2888230</v>
      </c>
      <c r="E196" s="2" t="s">
        <v>592</v>
      </c>
      <c r="F196" s="6" t="s">
        <v>124</v>
      </c>
      <c r="G196" s="6" t="s">
        <v>173</v>
      </c>
      <c r="H196" s="2">
        <v>92920</v>
      </c>
      <c r="I196" s="2" t="s">
        <v>68</v>
      </c>
      <c r="J196" s="2">
        <v>1327.96</v>
      </c>
      <c r="K196" s="2">
        <v>1.0010399999999999</v>
      </c>
      <c r="L196" s="2" t="s">
        <v>65</v>
      </c>
      <c r="M196" s="2" t="s">
        <v>86</v>
      </c>
      <c r="N196" s="2">
        <f t="shared" ca="1" si="9"/>
        <v>9</v>
      </c>
      <c r="O196" s="6">
        <f t="shared" ca="1" si="10"/>
        <v>45456</v>
      </c>
      <c r="P196" s="2">
        <f t="shared" ca="1" si="11"/>
        <v>1</v>
      </c>
    </row>
    <row r="197" spans="1:16" x14ac:dyDescent="0.35">
      <c r="A197" s="2" t="s">
        <v>40</v>
      </c>
      <c r="B197" s="2">
        <v>788967</v>
      </c>
      <c r="C197" s="2">
        <v>360</v>
      </c>
      <c r="D197" s="2">
        <v>2888060</v>
      </c>
      <c r="E197" s="2" t="s">
        <v>198</v>
      </c>
      <c r="F197" s="6" t="s">
        <v>139</v>
      </c>
      <c r="G197" s="6" t="s">
        <v>173</v>
      </c>
      <c r="H197" s="2">
        <v>20241337</v>
      </c>
      <c r="I197" s="2" t="s">
        <v>68</v>
      </c>
      <c r="J197" s="2">
        <v>1550.69</v>
      </c>
      <c r="K197" s="2">
        <v>1.00901</v>
      </c>
      <c r="L197" s="2" t="s">
        <v>65</v>
      </c>
      <c r="M197" s="2" t="s">
        <v>195</v>
      </c>
      <c r="N197" s="2">
        <f t="shared" ca="1" si="9"/>
        <v>9</v>
      </c>
      <c r="O197" s="6">
        <f t="shared" ca="1" si="10"/>
        <v>45456</v>
      </c>
      <c r="P197" s="2">
        <f t="shared" ca="1" si="11"/>
        <v>1</v>
      </c>
    </row>
    <row r="198" spans="1:16" x14ac:dyDescent="0.35">
      <c r="A198" s="2" t="s">
        <v>40</v>
      </c>
      <c r="B198" s="2">
        <v>787477</v>
      </c>
      <c r="C198" s="2">
        <v>360</v>
      </c>
      <c r="D198" s="2">
        <v>2885668</v>
      </c>
      <c r="E198" s="2" t="s">
        <v>600</v>
      </c>
      <c r="F198" s="6" t="s">
        <v>78</v>
      </c>
      <c r="G198" s="6" t="s">
        <v>173</v>
      </c>
      <c r="H198" s="2">
        <v>760</v>
      </c>
      <c r="I198" s="2" t="s">
        <v>79</v>
      </c>
      <c r="J198" s="2">
        <v>1795.12</v>
      </c>
      <c r="K198" s="2">
        <v>1.0840099999999999</v>
      </c>
      <c r="L198" s="2" t="s">
        <v>65</v>
      </c>
      <c r="M198" s="2" t="s">
        <v>467</v>
      </c>
      <c r="N198" s="2">
        <f t="shared" ca="1" si="9"/>
        <v>9</v>
      </c>
      <c r="O198" s="6">
        <f t="shared" ca="1" si="10"/>
        <v>45456</v>
      </c>
      <c r="P198" s="2">
        <f t="shared" ca="1" si="11"/>
        <v>1</v>
      </c>
    </row>
    <row r="199" spans="1:16" x14ac:dyDescent="0.35">
      <c r="A199" s="2" t="s">
        <v>38</v>
      </c>
      <c r="B199" s="2">
        <v>787476</v>
      </c>
      <c r="C199" s="2">
        <v>360</v>
      </c>
      <c r="D199" s="2">
        <v>2885497</v>
      </c>
      <c r="E199" s="2" t="s">
        <v>601</v>
      </c>
      <c r="F199" s="6" t="s">
        <v>78</v>
      </c>
      <c r="G199" s="6" t="s">
        <v>173</v>
      </c>
      <c r="H199" s="2">
        <v>2015</v>
      </c>
      <c r="I199" s="2" t="s">
        <v>79</v>
      </c>
      <c r="J199" s="2">
        <v>700</v>
      </c>
      <c r="K199" s="2">
        <v>1.10301</v>
      </c>
      <c r="L199" s="2" t="s">
        <v>65</v>
      </c>
      <c r="M199" s="2" t="s">
        <v>444</v>
      </c>
      <c r="N199" s="2">
        <f t="shared" ca="1" si="9"/>
        <v>9</v>
      </c>
      <c r="O199" s="6">
        <f t="shared" ca="1" si="10"/>
        <v>45456</v>
      </c>
      <c r="P199" s="2">
        <f t="shared" ca="1" si="11"/>
        <v>1</v>
      </c>
    </row>
    <row r="200" spans="1:16" x14ac:dyDescent="0.35">
      <c r="A200" s="2" t="s">
        <v>36</v>
      </c>
      <c r="B200" s="2">
        <v>787327</v>
      </c>
      <c r="C200" s="2">
        <v>360</v>
      </c>
      <c r="D200" s="2">
        <v>2883697</v>
      </c>
      <c r="E200" s="2" t="s">
        <v>212</v>
      </c>
      <c r="F200" s="6" t="s">
        <v>78</v>
      </c>
      <c r="G200" s="6" t="s">
        <v>173</v>
      </c>
      <c r="H200" s="2">
        <v>63652</v>
      </c>
      <c r="I200" s="2" t="s">
        <v>68</v>
      </c>
      <c r="J200" s="2">
        <v>1550.18</v>
      </c>
      <c r="K200" s="2">
        <v>1.0620099999999999</v>
      </c>
      <c r="L200" s="2" t="s">
        <v>65</v>
      </c>
      <c r="M200" s="2" t="s">
        <v>176</v>
      </c>
      <c r="N200" s="2">
        <f t="shared" ca="1" si="9"/>
        <v>9</v>
      </c>
      <c r="O200" s="6">
        <f t="shared" ca="1" si="10"/>
        <v>45456</v>
      </c>
      <c r="P200" s="2">
        <f t="shared" ca="1" si="11"/>
        <v>1</v>
      </c>
    </row>
    <row r="201" spans="1:16" x14ac:dyDescent="0.35">
      <c r="A201" s="2" t="s">
        <v>42</v>
      </c>
      <c r="B201" s="2">
        <v>787271</v>
      </c>
      <c r="C201" s="2">
        <v>360</v>
      </c>
      <c r="D201" s="2">
        <v>2883122</v>
      </c>
      <c r="E201" s="2" t="s">
        <v>602</v>
      </c>
      <c r="F201" s="6" t="s">
        <v>116</v>
      </c>
      <c r="G201" s="6" t="s">
        <v>173</v>
      </c>
      <c r="H201" s="2">
        <v>33987</v>
      </c>
      <c r="I201" s="2" t="s">
        <v>79</v>
      </c>
      <c r="J201" s="2">
        <v>3258.96</v>
      </c>
      <c r="K201" s="2">
        <v>1.0010399999999999</v>
      </c>
      <c r="L201" s="2" t="s">
        <v>65</v>
      </c>
      <c r="M201" s="2" t="s">
        <v>86</v>
      </c>
      <c r="N201" s="2">
        <f t="shared" ca="1" si="9"/>
        <v>9</v>
      </c>
      <c r="O201" s="6">
        <f t="shared" ca="1" si="10"/>
        <v>45456</v>
      </c>
      <c r="P201" s="2">
        <f t="shared" ca="1" si="11"/>
        <v>1</v>
      </c>
    </row>
    <row r="202" spans="1:16" x14ac:dyDescent="0.35">
      <c r="A202" s="2" t="s">
        <v>40</v>
      </c>
      <c r="B202" s="2">
        <v>785898</v>
      </c>
      <c r="C202" s="2">
        <v>360</v>
      </c>
      <c r="D202" s="2">
        <v>2881146</v>
      </c>
      <c r="E202" s="2" t="s">
        <v>208</v>
      </c>
      <c r="F202" s="6" t="s">
        <v>129</v>
      </c>
      <c r="G202" s="6" t="s">
        <v>173</v>
      </c>
      <c r="H202" s="2">
        <v>585</v>
      </c>
      <c r="I202" s="2" t="s">
        <v>79</v>
      </c>
      <c r="J202" s="2">
        <v>2240</v>
      </c>
      <c r="K202" s="2">
        <v>1.1610100000000001</v>
      </c>
      <c r="L202" s="2" t="s">
        <v>65</v>
      </c>
      <c r="M202" s="2" t="s">
        <v>603</v>
      </c>
      <c r="N202" s="2">
        <f t="shared" ca="1" si="9"/>
        <v>9</v>
      </c>
      <c r="O202" s="6">
        <f t="shared" ca="1" si="10"/>
        <v>45456</v>
      </c>
      <c r="P202" s="2">
        <f t="shared" ca="1" si="11"/>
        <v>1</v>
      </c>
    </row>
    <row r="203" spans="1:16" x14ac:dyDescent="0.35">
      <c r="A203" s="2" t="s">
        <v>38</v>
      </c>
      <c r="B203" s="2">
        <v>785849</v>
      </c>
      <c r="C203" s="2">
        <v>360</v>
      </c>
      <c r="D203" s="2">
        <v>2880653</v>
      </c>
      <c r="E203" s="2" t="s">
        <v>209</v>
      </c>
      <c r="F203" s="6" t="s">
        <v>129</v>
      </c>
      <c r="G203" s="6" t="s">
        <v>173</v>
      </c>
      <c r="H203" s="2">
        <v>14408</v>
      </c>
      <c r="I203" s="2" t="s">
        <v>68</v>
      </c>
      <c r="J203" s="2">
        <v>5367.01</v>
      </c>
      <c r="K203" s="2">
        <v>1.0010399999999999</v>
      </c>
      <c r="L203" s="2" t="s">
        <v>65</v>
      </c>
      <c r="M203" s="2" t="s">
        <v>86</v>
      </c>
      <c r="N203" s="2">
        <f t="shared" ca="1" si="9"/>
        <v>9</v>
      </c>
      <c r="O203" s="6">
        <f t="shared" ca="1" si="10"/>
        <v>45456</v>
      </c>
      <c r="P203" s="2">
        <f t="shared" ca="1" si="11"/>
        <v>1</v>
      </c>
    </row>
    <row r="204" spans="1:16" x14ac:dyDescent="0.35">
      <c r="A204" s="2" t="s">
        <v>36</v>
      </c>
      <c r="B204" s="2">
        <v>784606</v>
      </c>
      <c r="C204" s="2">
        <v>360</v>
      </c>
      <c r="D204" s="2">
        <v>2879093</v>
      </c>
      <c r="E204" s="2" t="s">
        <v>604</v>
      </c>
      <c r="F204" s="6" t="s">
        <v>129</v>
      </c>
      <c r="G204" s="6" t="s">
        <v>173</v>
      </c>
      <c r="H204" s="2">
        <v>199455</v>
      </c>
      <c r="I204" s="2" t="s">
        <v>68</v>
      </c>
      <c r="J204" s="2">
        <v>542.66999999999996</v>
      </c>
      <c r="K204" s="2">
        <v>1.0860099999999999</v>
      </c>
      <c r="L204" s="2" t="s">
        <v>65</v>
      </c>
      <c r="M204" s="2" t="s">
        <v>151</v>
      </c>
      <c r="N204" s="2">
        <f t="shared" ca="1" si="9"/>
        <v>9</v>
      </c>
      <c r="O204" s="6">
        <f t="shared" ca="1" si="10"/>
        <v>45456</v>
      </c>
      <c r="P204" s="2">
        <f t="shared" ca="1" si="11"/>
        <v>1</v>
      </c>
    </row>
    <row r="205" spans="1:16" x14ac:dyDescent="0.35">
      <c r="A205" s="2" t="s">
        <v>42</v>
      </c>
      <c r="B205" s="2">
        <v>783154</v>
      </c>
      <c r="C205" s="2">
        <v>360</v>
      </c>
      <c r="D205" s="2">
        <v>2888684</v>
      </c>
      <c r="E205" s="2" t="s">
        <v>605</v>
      </c>
      <c r="F205" s="6" t="s">
        <v>139</v>
      </c>
      <c r="G205" s="6" t="s">
        <v>173</v>
      </c>
      <c r="H205" s="2">
        <v>27992</v>
      </c>
      <c r="I205" s="2" t="s">
        <v>79</v>
      </c>
      <c r="J205" s="2">
        <v>103</v>
      </c>
      <c r="K205" s="2">
        <v>1.0740099999999999</v>
      </c>
      <c r="L205" s="2" t="s">
        <v>65</v>
      </c>
      <c r="M205" s="2" t="s">
        <v>105</v>
      </c>
      <c r="N205" s="2">
        <f t="shared" ca="1" si="9"/>
        <v>9</v>
      </c>
      <c r="O205" s="6">
        <f t="shared" ca="1" si="10"/>
        <v>45456</v>
      </c>
      <c r="P205" s="2">
        <f t="shared" ca="1" si="11"/>
        <v>1</v>
      </c>
    </row>
    <row r="206" spans="1:16" x14ac:dyDescent="0.35">
      <c r="A206" s="2" t="s">
        <v>42</v>
      </c>
      <c r="B206" s="2">
        <v>782547</v>
      </c>
      <c r="C206" s="2">
        <v>360</v>
      </c>
      <c r="D206" s="2">
        <v>2873613</v>
      </c>
      <c r="E206" s="2" t="s">
        <v>165</v>
      </c>
      <c r="F206" s="6" t="s">
        <v>135</v>
      </c>
      <c r="G206" s="6" t="s">
        <v>173</v>
      </c>
      <c r="H206" s="2">
        <v>20241722</v>
      </c>
      <c r="I206" s="2" t="s">
        <v>68</v>
      </c>
      <c r="J206" s="2">
        <v>1500</v>
      </c>
      <c r="K206" s="2">
        <v>1.00108</v>
      </c>
      <c r="L206" s="2" t="s">
        <v>65</v>
      </c>
      <c r="M206" s="2" t="s">
        <v>185</v>
      </c>
      <c r="N206" s="2">
        <f t="shared" ca="1" si="9"/>
        <v>9</v>
      </c>
      <c r="O206" s="6">
        <f t="shared" ca="1" si="10"/>
        <v>45456</v>
      </c>
      <c r="P206" s="2">
        <f t="shared" ca="1" si="11"/>
        <v>1</v>
      </c>
    </row>
    <row r="207" spans="1:16" x14ac:dyDescent="0.35">
      <c r="A207" s="2" t="s">
        <v>40</v>
      </c>
      <c r="B207" s="2">
        <v>790996</v>
      </c>
      <c r="C207" s="2">
        <v>360</v>
      </c>
      <c r="D207" s="2">
        <v>2891960</v>
      </c>
      <c r="E207" s="2" t="s">
        <v>606</v>
      </c>
      <c r="F207" s="6" t="s">
        <v>74</v>
      </c>
      <c r="G207" s="6" t="s">
        <v>541</v>
      </c>
      <c r="H207" s="2">
        <v>4588</v>
      </c>
      <c r="I207" s="2" t="s">
        <v>79</v>
      </c>
      <c r="J207" s="2">
        <v>820.5</v>
      </c>
      <c r="K207" s="2">
        <v>1.0740099999999999</v>
      </c>
      <c r="L207" s="2" t="s">
        <v>65</v>
      </c>
      <c r="M207" s="2" t="s">
        <v>105</v>
      </c>
      <c r="N207" s="2">
        <f t="shared" ca="1" si="9"/>
        <v>10</v>
      </c>
      <c r="O207" s="6">
        <f t="shared" ca="1" si="10"/>
        <v>45456</v>
      </c>
      <c r="P207" s="2">
        <f t="shared" ca="1" si="11"/>
        <v>1</v>
      </c>
    </row>
    <row r="208" spans="1:16" x14ac:dyDescent="0.35">
      <c r="A208" s="2" t="s">
        <v>38</v>
      </c>
      <c r="B208" s="2">
        <v>789131</v>
      </c>
      <c r="C208" s="2">
        <v>360</v>
      </c>
      <c r="D208" s="2">
        <v>2889391</v>
      </c>
      <c r="E208" s="2" t="s">
        <v>154</v>
      </c>
      <c r="F208" s="6" t="s">
        <v>124</v>
      </c>
      <c r="G208" s="6" t="s">
        <v>541</v>
      </c>
      <c r="H208" s="2">
        <v>410084</v>
      </c>
      <c r="I208" s="2" t="s">
        <v>68</v>
      </c>
      <c r="J208" s="2">
        <v>2214.63</v>
      </c>
      <c r="K208" s="2">
        <v>1.05701</v>
      </c>
      <c r="L208" s="2" t="s">
        <v>65</v>
      </c>
      <c r="M208" s="2" t="s">
        <v>203</v>
      </c>
      <c r="N208" s="2">
        <f t="shared" ca="1" si="9"/>
        <v>10</v>
      </c>
      <c r="O208" s="6">
        <f t="shared" ca="1" si="10"/>
        <v>45456</v>
      </c>
      <c r="P208" s="2">
        <f t="shared" ca="1" si="11"/>
        <v>1</v>
      </c>
    </row>
    <row r="209" spans="1:16" x14ac:dyDescent="0.35">
      <c r="A209" s="2" t="s">
        <v>38</v>
      </c>
      <c r="B209" s="2">
        <v>789119</v>
      </c>
      <c r="C209" s="2">
        <v>360</v>
      </c>
      <c r="D209" s="2">
        <v>2889008</v>
      </c>
      <c r="E209" s="2" t="s">
        <v>154</v>
      </c>
      <c r="F209" s="6" t="s">
        <v>124</v>
      </c>
      <c r="G209" s="6" t="s">
        <v>541</v>
      </c>
      <c r="H209" s="2">
        <v>410073</v>
      </c>
      <c r="I209" s="2" t="s">
        <v>68</v>
      </c>
      <c r="J209" s="2">
        <v>1965.45</v>
      </c>
      <c r="K209" s="2">
        <v>1.0010699999999999</v>
      </c>
      <c r="L209" s="2" t="s">
        <v>65</v>
      </c>
      <c r="M209" s="2" t="s">
        <v>155</v>
      </c>
      <c r="N209" s="2">
        <f t="shared" ca="1" si="9"/>
        <v>10</v>
      </c>
      <c r="O209" s="6">
        <f t="shared" ca="1" si="10"/>
        <v>45456</v>
      </c>
      <c r="P209" s="2">
        <f t="shared" ca="1" si="11"/>
        <v>1</v>
      </c>
    </row>
    <row r="210" spans="1:16" x14ac:dyDescent="0.35">
      <c r="A210" s="2" t="s">
        <v>38</v>
      </c>
      <c r="B210" s="2">
        <v>789087</v>
      </c>
      <c r="C210" s="2">
        <v>360</v>
      </c>
      <c r="D210" s="2">
        <v>2888969</v>
      </c>
      <c r="E210" s="2" t="s">
        <v>154</v>
      </c>
      <c r="F210" s="6" t="s">
        <v>124</v>
      </c>
      <c r="G210" s="6" t="s">
        <v>541</v>
      </c>
      <c r="H210" s="2">
        <v>410061</v>
      </c>
      <c r="I210" s="2" t="s">
        <v>68</v>
      </c>
      <c r="J210" s="2">
        <v>5883.85</v>
      </c>
      <c r="K210" s="2">
        <v>1.0480100000000001</v>
      </c>
      <c r="L210" s="2" t="s">
        <v>65</v>
      </c>
      <c r="M210" s="2" t="s">
        <v>75</v>
      </c>
      <c r="N210" s="2">
        <f t="shared" ca="1" si="9"/>
        <v>10</v>
      </c>
      <c r="O210" s="6">
        <f t="shared" ca="1" si="10"/>
        <v>45456</v>
      </c>
      <c r="P210" s="2">
        <f t="shared" ca="1" si="11"/>
        <v>1</v>
      </c>
    </row>
    <row r="211" spans="1:16" x14ac:dyDescent="0.35">
      <c r="A211" s="2" t="s">
        <v>36</v>
      </c>
      <c r="B211" s="2">
        <v>784867</v>
      </c>
      <c r="C211" s="2">
        <v>360</v>
      </c>
      <c r="D211" s="2">
        <v>2879656</v>
      </c>
      <c r="E211" s="2" t="s">
        <v>422</v>
      </c>
      <c r="F211" s="6" t="s">
        <v>129</v>
      </c>
      <c r="G211" s="6" t="s">
        <v>541</v>
      </c>
      <c r="H211" s="2">
        <v>1953682</v>
      </c>
      <c r="I211" s="2" t="s">
        <v>79</v>
      </c>
      <c r="J211" s="2">
        <v>1879.87</v>
      </c>
      <c r="K211" s="2">
        <v>1.01702</v>
      </c>
      <c r="L211" s="2" t="s">
        <v>76</v>
      </c>
      <c r="M211" s="2" t="s">
        <v>190</v>
      </c>
      <c r="N211" s="2">
        <f t="shared" ca="1" si="9"/>
        <v>10</v>
      </c>
      <c r="O211" s="6">
        <f t="shared" ca="1" si="10"/>
        <v>45456</v>
      </c>
      <c r="P211" s="2">
        <f t="shared" ca="1" si="11"/>
        <v>1</v>
      </c>
    </row>
    <row r="212" spans="1:16" x14ac:dyDescent="0.35">
      <c r="A212" s="2" t="s">
        <v>36</v>
      </c>
      <c r="B212" s="2">
        <v>784612</v>
      </c>
      <c r="C212" s="2">
        <v>360</v>
      </c>
      <c r="D212" s="2">
        <v>2879131</v>
      </c>
      <c r="E212" s="2" t="s">
        <v>604</v>
      </c>
      <c r="F212" s="6" t="s">
        <v>129</v>
      </c>
      <c r="G212" s="6" t="s">
        <v>541</v>
      </c>
      <c r="H212" s="2">
        <v>199450</v>
      </c>
      <c r="I212" s="2" t="s">
        <v>68</v>
      </c>
      <c r="J212" s="2">
        <v>4434.68</v>
      </c>
      <c r="K212" s="2">
        <v>1.0860700000000001</v>
      </c>
      <c r="L212" s="2" t="s">
        <v>65</v>
      </c>
      <c r="M212" s="2" t="s">
        <v>151</v>
      </c>
      <c r="N212" s="2">
        <f t="shared" ca="1" si="9"/>
        <v>10</v>
      </c>
      <c r="O212" s="6">
        <f t="shared" ca="1" si="10"/>
        <v>45456</v>
      </c>
      <c r="P212" s="2">
        <f t="shared" ca="1" si="11"/>
        <v>1</v>
      </c>
    </row>
    <row r="213" spans="1:16" x14ac:dyDescent="0.35">
      <c r="A213" s="2" t="s">
        <v>36</v>
      </c>
      <c r="B213" s="2">
        <v>784610</v>
      </c>
      <c r="C213" s="2">
        <v>360</v>
      </c>
      <c r="D213" s="2">
        <v>2879082</v>
      </c>
      <c r="E213" s="2" t="s">
        <v>604</v>
      </c>
      <c r="F213" s="6" t="s">
        <v>129</v>
      </c>
      <c r="G213" s="6" t="s">
        <v>541</v>
      </c>
      <c r="H213" s="2">
        <v>199448</v>
      </c>
      <c r="I213" s="2" t="s">
        <v>68</v>
      </c>
      <c r="J213" s="2">
        <v>5570.53</v>
      </c>
      <c r="K213" s="2">
        <v>1.0860099999999999</v>
      </c>
      <c r="L213" s="2" t="s">
        <v>65</v>
      </c>
      <c r="M213" s="2" t="s">
        <v>151</v>
      </c>
      <c r="N213" s="2">
        <f t="shared" ca="1" si="9"/>
        <v>10</v>
      </c>
      <c r="O213" s="6">
        <f t="shared" ca="1" si="10"/>
        <v>45456</v>
      </c>
      <c r="P213" s="2">
        <f t="shared" ca="1" si="11"/>
        <v>1</v>
      </c>
    </row>
    <row r="214" spans="1:16" x14ac:dyDescent="0.35">
      <c r="A214" s="2" t="s">
        <v>42</v>
      </c>
      <c r="B214" s="2">
        <v>784564</v>
      </c>
      <c r="C214" s="2">
        <v>360</v>
      </c>
      <c r="D214" s="2">
        <v>2888504</v>
      </c>
      <c r="E214" s="2" t="s">
        <v>174</v>
      </c>
      <c r="F214" s="6" t="s">
        <v>129</v>
      </c>
      <c r="G214" s="6" t="s">
        <v>71</v>
      </c>
      <c r="H214" s="2">
        <v>17572</v>
      </c>
      <c r="I214" s="2" t="s">
        <v>68</v>
      </c>
      <c r="J214" s="2">
        <v>307.85000000000002</v>
      </c>
      <c r="K214" s="2">
        <v>1.0460199999999999</v>
      </c>
      <c r="L214" s="2" t="s">
        <v>65</v>
      </c>
      <c r="M214" s="2" t="s">
        <v>66</v>
      </c>
      <c r="N214" s="2">
        <f t="shared" ca="1" si="9"/>
        <v>2</v>
      </c>
      <c r="O214" s="6">
        <f t="shared" ca="1" si="10"/>
        <v>45456</v>
      </c>
      <c r="P214" s="2">
        <f t="shared" ca="1" si="11"/>
        <v>1</v>
      </c>
    </row>
    <row r="215" spans="1:16" x14ac:dyDescent="0.35">
      <c r="A215" s="2" t="s">
        <v>40</v>
      </c>
      <c r="B215" s="2">
        <v>789240</v>
      </c>
      <c r="C215" s="2">
        <v>360</v>
      </c>
      <c r="D215" s="2">
        <v>2889501</v>
      </c>
      <c r="E215" s="2" t="s">
        <v>607</v>
      </c>
      <c r="F215" s="6" t="s">
        <v>124</v>
      </c>
      <c r="G215" s="6" t="s">
        <v>211</v>
      </c>
      <c r="H215" s="2">
        <v>30229</v>
      </c>
      <c r="I215" s="2" t="s">
        <v>79</v>
      </c>
      <c r="J215" s="2">
        <v>667.14</v>
      </c>
      <c r="K215" s="2">
        <v>1.0860099999999999</v>
      </c>
      <c r="L215" s="2" t="s">
        <v>65</v>
      </c>
      <c r="M215" s="2" t="s">
        <v>151</v>
      </c>
      <c r="N215" s="2">
        <f t="shared" ca="1" si="9"/>
        <v>11</v>
      </c>
      <c r="O215" s="6">
        <f t="shared" ca="1" si="10"/>
        <v>45456</v>
      </c>
      <c r="P215" s="2">
        <f t="shared" ca="1" si="11"/>
        <v>1</v>
      </c>
    </row>
    <row r="216" spans="1:16" x14ac:dyDescent="0.35">
      <c r="A216" s="2" t="s">
        <v>42</v>
      </c>
      <c r="B216" s="2">
        <v>789157</v>
      </c>
      <c r="C216" s="2">
        <v>360</v>
      </c>
      <c r="D216" s="2">
        <v>2889243</v>
      </c>
      <c r="E216" s="2" t="s">
        <v>220</v>
      </c>
      <c r="F216" s="6" t="s">
        <v>116</v>
      </c>
      <c r="G216" s="6" t="s">
        <v>211</v>
      </c>
      <c r="H216" s="2">
        <v>46465</v>
      </c>
      <c r="I216" s="2" t="s">
        <v>68</v>
      </c>
      <c r="J216" s="2">
        <v>384.01</v>
      </c>
      <c r="K216" s="2">
        <v>1.0820099999999999</v>
      </c>
      <c r="L216" s="2" t="s">
        <v>65</v>
      </c>
      <c r="M216" s="2" t="s">
        <v>181</v>
      </c>
      <c r="N216" s="2">
        <f t="shared" ca="1" si="9"/>
        <v>11</v>
      </c>
      <c r="O216" s="6">
        <f t="shared" ca="1" si="10"/>
        <v>45456</v>
      </c>
      <c r="P216" s="2">
        <f t="shared" ca="1" si="11"/>
        <v>1</v>
      </c>
    </row>
    <row r="217" spans="1:16" x14ac:dyDescent="0.35">
      <c r="A217" s="2" t="s">
        <v>42</v>
      </c>
      <c r="B217" s="2">
        <v>789156</v>
      </c>
      <c r="C217" s="2">
        <v>360</v>
      </c>
      <c r="D217" s="2">
        <v>2889107</v>
      </c>
      <c r="E217" s="2" t="s">
        <v>220</v>
      </c>
      <c r="F217" s="6" t="s">
        <v>116</v>
      </c>
      <c r="G217" s="6" t="s">
        <v>211</v>
      </c>
      <c r="H217" s="2">
        <v>46464</v>
      </c>
      <c r="I217" s="2" t="s">
        <v>68</v>
      </c>
      <c r="J217" s="2">
        <v>2390.39</v>
      </c>
      <c r="K217" s="2">
        <v>1.05701</v>
      </c>
      <c r="L217" s="2" t="s">
        <v>65</v>
      </c>
      <c r="M217" s="2" t="s">
        <v>203</v>
      </c>
      <c r="N217" s="2">
        <f t="shared" ca="1" si="9"/>
        <v>11</v>
      </c>
      <c r="O217" s="6">
        <f t="shared" ca="1" si="10"/>
        <v>45456</v>
      </c>
      <c r="P217" s="2">
        <f t="shared" ca="1" si="11"/>
        <v>1</v>
      </c>
    </row>
    <row r="218" spans="1:16" x14ac:dyDescent="0.35">
      <c r="A218" s="2" t="s">
        <v>38</v>
      </c>
      <c r="B218" s="2">
        <v>787523</v>
      </c>
      <c r="C218" s="2">
        <v>360</v>
      </c>
      <c r="D218" s="2">
        <v>2885805</v>
      </c>
      <c r="E218" s="2" t="s">
        <v>202</v>
      </c>
      <c r="F218" s="6" t="s">
        <v>78</v>
      </c>
      <c r="G218" s="6" t="s">
        <v>211</v>
      </c>
      <c r="H218" s="2">
        <v>101997</v>
      </c>
      <c r="I218" s="2" t="s">
        <v>68</v>
      </c>
      <c r="J218" s="2">
        <v>11.54</v>
      </c>
      <c r="K218" s="2">
        <v>1.0480100000000001</v>
      </c>
      <c r="L218" s="2" t="s">
        <v>65</v>
      </c>
      <c r="M218" s="2" t="s">
        <v>75</v>
      </c>
      <c r="N218" s="2">
        <f t="shared" ca="1" si="9"/>
        <v>11</v>
      </c>
      <c r="O218" s="6">
        <f t="shared" ca="1" si="10"/>
        <v>45456</v>
      </c>
      <c r="P218" s="2">
        <f t="shared" ca="1" si="11"/>
        <v>1</v>
      </c>
    </row>
    <row r="219" spans="1:16" x14ac:dyDescent="0.35">
      <c r="A219" s="2" t="s">
        <v>36</v>
      </c>
      <c r="B219" s="2">
        <v>788989</v>
      </c>
      <c r="C219" s="2">
        <v>360</v>
      </c>
      <c r="D219" s="2">
        <v>2888175</v>
      </c>
      <c r="E219" s="2" t="s">
        <v>608</v>
      </c>
      <c r="F219" s="6" t="s">
        <v>124</v>
      </c>
      <c r="G219" s="6" t="s">
        <v>213</v>
      </c>
      <c r="H219" s="2">
        <v>1816</v>
      </c>
      <c r="I219" s="2" t="s">
        <v>68</v>
      </c>
      <c r="J219" s="2">
        <v>2118</v>
      </c>
      <c r="K219" s="2">
        <v>1.07701</v>
      </c>
      <c r="L219" s="2" t="s">
        <v>65</v>
      </c>
      <c r="M219" s="2" t="s">
        <v>132</v>
      </c>
      <c r="N219" s="2">
        <f t="shared" ca="1" si="9"/>
        <v>12</v>
      </c>
      <c r="O219" s="6">
        <f t="shared" ca="1" si="10"/>
        <v>45456</v>
      </c>
      <c r="P219" s="2">
        <f t="shared" ca="1" si="11"/>
        <v>1</v>
      </c>
    </row>
    <row r="220" spans="1:16" x14ac:dyDescent="0.35">
      <c r="A220" s="2" t="s">
        <v>36</v>
      </c>
      <c r="B220" s="2">
        <v>788988</v>
      </c>
      <c r="C220" s="2">
        <v>360</v>
      </c>
      <c r="D220" s="2">
        <v>2888170</v>
      </c>
      <c r="E220" s="2" t="s">
        <v>608</v>
      </c>
      <c r="F220" s="6" t="s">
        <v>124</v>
      </c>
      <c r="G220" s="6" t="s">
        <v>213</v>
      </c>
      <c r="H220" s="2">
        <v>1815</v>
      </c>
      <c r="I220" s="2" t="s">
        <v>68</v>
      </c>
      <c r="J220" s="2">
        <v>2118</v>
      </c>
      <c r="K220" s="2">
        <v>1.0760099999999999</v>
      </c>
      <c r="L220" s="2" t="s">
        <v>65</v>
      </c>
      <c r="M220" s="2" t="s">
        <v>77</v>
      </c>
      <c r="N220" s="2">
        <f t="shared" ca="1" si="9"/>
        <v>12</v>
      </c>
      <c r="O220" s="6">
        <f t="shared" ca="1" si="10"/>
        <v>45456</v>
      </c>
      <c r="P220" s="2">
        <f t="shared" ca="1" si="11"/>
        <v>1</v>
      </c>
    </row>
    <row r="221" spans="1:16" x14ac:dyDescent="0.35">
      <c r="A221" s="2" t="s">
        <v>42</v>
      </c>
      <c r="B221" s="2">
        <v>787342</v>
      </c>
      <c r="C221" s="2">
        <v>360</v>
      </c>
      <c r="D221" s="2">
        <v>2883906</v>
      </c>
      <c r="E221" s="2" t="s">
        <v>214</v>
      </c>
      <c r="F221" s="6" t="s">
        <v>78</v>
      </c>
      <c r="G221" s="6" t="s">
        <v>213</v>
      </c>
      <c r="H221" s="2">
        <v>22</v>
      </c>
      <c r="I221" s="2" t="s">
        <v>68</v>
      </c>
      <c r="J221" s="2">
        <v>360</v>
      </c>
      <c r="K221" s="2">
        <v>1.05402</v>
      </c>
      <c r="L221" s="2" t="s">
        <v>65</v>
      </c>
      <c r="M221" s="2" t="s">
        <v>121</v>
      </c>
      <c r="N221" s="2">
        <f t="shared" ca="1" si="9"/>
        <v>12</v>
      </c>
      <c r="O221" s="6">
        <f t="shared" ca="1" si="10"/>
        <v>45456</v>
      </c>
      <c r="P221" s="2">
        <f t="shared" ca="1" si="11"/>
        <v>1</v>
      </c>
    </row>
    <row r="222" spans="1:16" x14ac:dyDescent="0.35">
      <c r="A222" s="2" t="s">
        <v>40</v>
      </c>
      <c r="B222" s="2">
        <v>784687</v>
      </c>
      <c r="C222" s="2">
        <v>360</v>
      </c>
      <c r="D222" s="2">
        <v>2879535</v>
      </c>
      <c r="E222" s="2" t="s">
        <v>609</v>
      </c>
      <c r="F222" s="6" t="s">
        <v>129</v>
      </c>
      <c r="G222" s="6" t="s">
        <v>213</v>
      </c>
      <c r="H222" s="2">
        <v>502612</v>
      </c>
      <c r="I222" s="2" t="s">
        <v>68</v>
      </c>
      <c r="J222" s="2">
        <v>405.15</v>
      </c>
      <c r="K222" s="2">
        <v>1.03901</v>
      </c>
      <c r="L222" s="2" t="s">
        <v>65</v>
      </c>
      <c r="M222" s="2" t="s">
        <v>186</v>
      </c>
      <c r="N222" s="2">
        <f t="shared" ca="1" si="9"/>
        <v>12</v>
      </c>
      <c r="O222" s="6">
        <f t="shared" ca="1" si="10"/>
        <v>45456</v>
      </c>
      <c r="P222" s="2">
        <f t="shared" ca="1" si="11"/>
        <v>1</v>
      </c>
    </row>
    <row r="223" spans="1:16" x14ac:dyDescent="0.35">
      <c r="A223" s="2" t="s">
        <v>38</v>
      </c>
      <c r="B223" s="2">
        <v>784602</v>
      </c>
      <c r="C223" s="2">
        <v>360</v>
      </c>
      <c r="D223" s="2">
        <v>2879132</v>
      </c>
      <c r="E223" s="2" t="s">
        <v>215</v>
      </c>
      <c r="F223" s="6" t="s">
        <v>129</v>
      </c>
      <c r="G223" s="6" t="s">
        <v>216</v>
      </c>
      <c r="H223" s="2">
        <v>5236</v>
      </c>
      <c r="I223" s="2" t="s">
        <v>68</v>
      </c>
      <c r="J223" s="2">
        <v>118365.72</v>
      </c>
      <c r="K223" s="2">
        <v>1.07101</v>
      </c>
      <c r="L223" s="2" t="s">
        <v>65</v>
      </c>
      <c r="M223" s="2" t="s">
        <v>112</v>
      </c>
      <c r="N223" s="2">
        <f t="shared" ca="1" si="9"/>
        <v>12</v>
      </c>
      <c r="O223" s="6">
        <f t="shared" ca="1" si="10"/>
        <v>45456</v>
      </c>
      <c r="P223" s="2">
        <f t="shared" ca="1" si="11"/>
        <v>1</v>
      </c>
    </row>
    <row r="224" spans="1:16" x14ac:dyDescent="0.35">
      <c r="A224" s="2" t="s">
        <v>36</v>
      </c>
      <c r="B224" s="2">
        <v>790991</v>
      </c>
      <c r="C224" s="2">
        <v>360</v>
      </c>
      <c r="D224" s="2">
        <v>2892040</v>
      </c>
      <c r="E224" s="2" t="s">
        <v>610</v>
      </c>
      <c r="F224" s="6" t="s">
        <v>74</v>
      </c>
      <c r="G224" s="6" t="s">
        <v>216</v>
      </c>
      <c r="H224" s="2">
        <v>2024898</v>
      </c>
      <c r="I224" s="2" t="s">
        <v>68</v>
      </c>
      <c r="J224" s="2">
        <v>240</v>
      </c>
      <c r="K224" s="2">
        <v>1.02701</v>
      </c>
      <c r="L224" s="2" t="s">
        <v>65</v>
      </c>
      <c r="M224" s="2" t="s">
        <v>179</v>
      </c>
      <c r="N224" s="2">
        <f t="shared" ca="1" si="9"/>
        <v>12</v>
      </c>
      <c r="O224" s="6">
        <f t="shared" ca="1" si="10"/>
        <v>45456</v>
      </c>
      <c r="P224" s="2">
        <f t="shared" ca="1" si="11"/>
        <v>1</v>
      </c>
    </row>
    <row r="225" spans="1:16" x14ac:dyDescent="0.35">
      <c r="A225" s="2" t="s">
        <v>42</v>
      </c>
      <c r="B225" s="2">
        <v>788951</v>
      </c>
      <c r="C225" s="2">
        <v>360</v>
      </c>
      <c r="D225" s="2">
        <v>2887843</v>
      </c>
      <c r="E225" s="2" t="s">
        <v>218</v>
      </c>
      <c r="F225" s="6" t="s">
        <v>124</v>
      </c>
      <c r="G225" s="6" t="s">
        <v>147</v>
      </c>
      <c r="H225" s="2">
        <v>1617</v>
      </c>
      <c r="I225" s="2" t="s">
        <v>68</v>
      </c>
      <c r="J225" s="2">
        <v>10338.719999999999</v>
      </c>
      <c r="K225" s="2">
        <v>1.07101</v>
      </c>
      <c r="L225" s="2" t="s">
        <v>65</v>
      </c>
      <c r="M225" s="2" t="s">
        <v>112</v>
      </c>
      <c r="N225" s="2">
        <f t="shared" ca="1" si="9"/>
        <v>17</v>
      </c>
      <c r="O225" s="6">
        <f t="shared" ca="1" si="10"/>
        <v>45456</v>
      </c>
      <c r="P225" s="2">
        <f t="shared" ca="1" si="11"/>
        <v>1</v>
      </c>
    </row>
    <row r="226" spans="1:16" x14ac:dyDescent="0.35">
      <c r="A226" s="2" t="s">
        <v>42</v>
      </c>
      <c r="B226" s="2">
        <v>788950</v>
      </c>
      <c r="C226" s="2">
        <v>360</v>
      </c>
      <c r="D226" s="2">
        <v>2887790</v>
      </c>
      <c r="E226" s="2" t="s">
        <v>218</v>
      </c>
      <c r="F226" s="6" t="s">
        <v>124</v>
      </c>
      <c r="G226" s="6" t="s">
        <v>147</v>
      </c>
      <c r="H226" s="2">
        <v>1618</v>
      </c>
      <c r="I226" s="2" t="s">
        <v>68</v>
      </c>
      <c r="J226" s="2">
        <v>2969.11</v>
      </c>
      <c r="K226" s="2">
        <v>1.08101</v>
      </c>
      <c r="L226" s="2" t="s">
        <v>65</v>
      </c>
      <c r="M226" s="2" t="s">
        <v>172</v>
      </c>
      <c r="N226" s="2">
        <f t="shared" ca="1" si="9"/>
        <v>17</v>
      </c>
      <c r="O226" s="6">
        <f t="shared" ca="1" si="10"/>
        <v>45456</v>
      </c>
      <c r="P226" s="2">
        <f t="shared" ca="1" si="11"/>
        <v>1</v>
      </c>
    </row>
    <row r="227" spans="1:16" x14ac:dyDescent="0.35">
      <c r="A227" s="2" t="s">
        <v>42</v>
      </c>
      <c r="B227" s="2">
        <v>788949</v>
      </c>
      <c r="C227" s="2">
        <v>360</v>
      </c>
      <c r="D227" s="2">
        <v>2887784</v>
      </c>
      <c r="E227" s="2" t="s">
        <v>218</v>
      </c>
      <c r="F227" s="6" t="s">
        <v>124</v>
      </c>
      <c r="G227" s="6" t="s">
        <v>147</v>
      </c>
      <c r="H227" s="2">
        <v>1619</v>
      </c>
      <c r="I227" s="2" t="s">
        <v>68</v>
      </c>
      <c r="J227" s="2">
        <v>3089.72</v>
      </c>
      <c r="K227" s="2">
        <v>1.0720099999999999</v>
      </c>
      <c r="L227" s="2" t="s">
        <v>65</v>
      </c>
      <c r="M227" s="2" t="s">
        <v>130</v>
      </c>
      <c r="N227" s="2">
        <f t="shared" ca="1" si="9"/>
        <v>17</v>
      </c>
      <c r="O227" s="6">
        <f t="shared" ca="1" si="10"/>
        <v>45456</v>
      </c>
      <c r="P227" s="2">
        <f t="shared" ca="1" si="11"/>
        <v>1</v>
      </c>
    </row>
    <row r="228" spans="1:16" x14ac:dyDescent="0.35">
      <c r="A228" s="2" t="s">
        <v>40</v>
      </c>
      <c r="B228" s="2">
        <v>786111</v>
      </c>
      <c r="C228" s="2">
        <v>360</v>
      </c>
      <c r="D228" s="2">
        <v>2882354</v>
      </c>
      <c r="E228" s="2" t="s">
        <v>219</v>
      </c>
      <c r="F228" s="6" t="s">
        <v>135</v>
      </c>
      <c r="G228" s="6" t="s">
        <v>216</v>
      </c>
      <c r="H228" s="2">
        <v>2024440</v>
      </c>
      <c r="I228" s="2" t="s">
        <v>68</v>
      </c>
      <c r="J228" s="2">
        <v>1783</v>
      </c>
      <c r="K228" s="2">
        <v>1.02901</v>
      </c>
      <c r="L228" s="2" t="s">
        <v>65</v>
      </c>
      <c r="M228" s="2" t="s">
        <v>119</v>
      </c>
      <c r="N228" s="2">
        <f t="shared" ca="1" si="9"/>
        <v>12</v>
      </c>
      <c r="O228" s="6">
        <f t="shared" ca="1" si="10"/>
        <v>45456</v>
      </c>
      <c r="P228" s="2">
        <f t="shared" ca="1" si="11"/>
        <v>1</v>
      </c>
    </row>
    <row r="229" spans="1:16" x14ac:dyDescent="0.35">
      <c r="A229" s="2" t="s">
        <v>38</v>
      </c>
      <c r="B229" s="2">
        <v>785840</v>
      </c>
      <c r="C229" s="2">
        <v>360</v>
      </c>
      <c r="D229" s="2">
        <v>2880421</v>
      </c>
      <c r="E229" s="2" t="s">
        <v>215</v>
      </c>
      <c r="F229" s="6" t="s">
        <v>129</v>
      </c>
      <c r="G229" s="6" t="s">
        <v>216</v>
      </c>
      <c r="H229" s="2">
        <v>5253</v>
      </c>
      <c r="I229" s="2" t="s">
        <v>68</v>
      </c>
      <c r="J229" s="2">
        <v>22770.14</v>
      </c>
      <c r="K229" s="2">
        <v>1.0720099999999999</v>
      </c>
      <c r="L229" s="2" t="s">
        <v>65</v>
      </c>
      <c r="M229" s="2" t="s">
        <v>130</v>
      </c>
      <c r="N229" s="2">
        <f t="shared" ca="1" si="9"/>
        <v>12</v>
      </c>
      <c r="O229" s="6">
        <f t="shared" ca="1" si="10"/>
        <v>45456</v>
      </c>
      <c r="P229" s="2">
        <f t="shared" ca="1" si="11"/>
        <v>1</v>
      </c>
    </row>
    <row r="230" spans="1:16" x14ac:dyDescent="0.35">
      <c r="A230" s="2" t="s">
        <v>38</v>
      </c>
      <c r="B230" s="2">
        <v>785838</v>
      </c>
      <c r="C230" s="2">
        <v>360</v>
      </c>
      <c r="D230" s="2">
        <v>2880327</v>
      </c>
      <c r="E230" s="2" t="s">
        <v>215</v>
      </c>
      <c r="F230" s="6" t="s">
        <v>129</v>
      </c>
      <c r="G230" s="6" t="s">
        <v>216</v>
      </c>
      <c r="H230" s="2">
        <v>5254</v>
      </c>
      <c r="I230" s="2" t="s">
        <v>68</v>
      </c>
      <c r="J230" s="2">
        <v>62775.91</v>
      </c>
      <c r="K230" s="2">
        <v>1.08101</v>
      </c>
      <c r="L230" s="2" t="s">
        <v>65</v>
      </c>
      <c r="M230" s="2" t="s">
        <v>172</v>
      </c>
      <c r="N230" s="2">
        <f t="shared" ca="1" si="9"/>
        <v>12</v>
      </c>
      <c r="O230" s="6">
        <f t="shared" ca="1" si="10"/>
        <v>45456</v>
      </c>
      <c r="P230" s="2">
        <f t="shared" ca="1" si="11"/>
        <v>1</v>
      </c>
    </row>
    <row r="231" spans="1:16" x14ac:dyDescent="0.35">
      <c r="A231" s="2" t="s">
        <v>38</v>
      </c>
      <c r="B231" s="2">
        <v>784475</v>
      </c>
      <c r="C231" s="2">
        <v>360</v>
      </c>
      <c r="D231" s="2">
        <v>2877937</v>
      </c>
      <c r="E231" s="2" t="s">
        <v>611</v>
      </c>
      <c r="F231" s="6" t="s">
        <v>129</v>
      </c>
      <c r="G231" s="6" t="s">
        <v>216</v>
      </c>
      <c r="H231" s="2">
        <v>448255</v>
      </c>
      <c r="I231" s="2" t="s">
        <v>68</v>
      </c>
      <c r="J231" s="2">
        <v>2110.62</v>
      </c>
      <c r="K231" s="2">
        <v>1.07301</v>
      </c>
      <c r="L231" s="2" t="s">
        <v>65</v>
      </c>
      <c r="M231" s="2" t="s">
        <v>80</v>
      </c>
      <c r="N231" s="2">
        <f t="shared" ca="1" si="9"/>
        <v>12</v>
      </c>
      <c r="O231" s="6">
        <f t="shared" ca="1" si="10"/>
        <v>45456</v>
      </c>
      <c r="P231" s="2">
        <f t="shared" ca="1" si="11"/>
        <v>1</v>
      </c>
    </row>
    <row r="232" spans="1:16" x14ac:dyDescent="0.35">
      <c r="A232" s="2" t="s">
        <v>36</v>
      </c>
      <c r="B232" s="2">
        <v>781555</v>
      </c>
      <c r="C232" s="2">
        <v>360</v>
      </c>
      <c r="D232" s="2">
        <v>2871393</v>
      </c>
      <c r="E232" s="2" t="s">
        <v>435</v>
      </c>
      <c r="F232" s="6" t="s">
        <v>135</v>
      </c>
      <c r="G232" s="6" t="s">
        <v>216</v>
      </c>
      <c r="H232" s="2">
        <v>2093</v>
      </c>
      <c r="I232" s="2" t="s">
        <v>68</v>
      </c>
      <c r="J232" s="2">
        <v>31641.75</v>
      </c>
      <c r="K232" s="2">
        <v>1.07602</v>
      </c>
      <c r="L232" s="2" t="s">
        <v>65</v>
      </c>
      <c r="M232" s="2" t="s">
        <v>77</v>
      </c>
      <c r="N232" s="2">
        <f t="shared" ca="1" si="9"/>
        <v>12</v>
      </c>
      <c r="O232" s="6">
        <f t="shared" ca="1" si="10"/>
        <v>45456</v>
      </c>
      <c r="P232" s="2">
        <f t="shared" ca="1" si="11"/>
        <v>1</v>
      </c>
    </row>
    <row r="233" spans="1:16" x14ac:dyDescent="0.35">
      <c r="A233" s="2" t="s">
        <v>42</v>
      </c>
      <c r="B233" s="2">
        <v>780964</v>
      </c>
      <c r="C233" s="2">
        <v>360</v>
      </c>
      <c r="D233" s="2">
        <v>2869354</v>
      </c>
      <c r="E233" s="2" t="s">
        <v>612</v>
      </c>
      <c r="F233" s="6" t="s">
        <v>178</v>
      </c>
      <c r="G233" s="6" t="s">
        <v>216</v>
      </c>
      <c r="H233" s="2">
        <v>9336</v>
      </c>
      <c r="I233" s="2" t="s">
        <v>79</v>
      </c>
      <c r="J233" s="2">
        <v>2353.9</v>
      </c>
      <c r="K233" s="2">
        <v>1.0010399999999999</v>
      </c>
      <c r="L233" s="2" t="s">
        <v>76</v>
      </c>
      <c r="M233" s="2" t="s">
        <v>86</v>
      </c>
      <c r="N233" s="2">
        <f t="shared" ca="1" si="9"/>
        <v>12</v>
      </c>
      <c r="O233" s="6">
        <f t="shared" ca="1" si="10"/>
        <v>45456</v>
      </c>
      <c r="P233" s="2">
        <f t="shared" ca="1" si="11"/>
        <v>1</v>
      </c>
    </row>
    <row r="234" spans="1:16" x14ac:dyDescent="0.35">
      <c r="A234" s="2" t="s">
        <v>40</v>
      </c>
      <c r="B234" s="2">
        <v>789931</v>
      </c>
      <c r="C234" s="2">
        <v>360</v>
      </c>
      <c r="D234" s="2">
        <v>2890162</v>
      </c>
      <c r="E234" s="2" t="s">
        <v>613</v>
      </c>
      <c r="F234" s="6" t="s">
        <v>124</v>
      </c>
      <c r="G234" s="6" t="s">
        <v>204</v>
      </c>
      <c r="H234" s="2">
        <v>177390</v>
      </c>
      <c r="I234" s="2" t="s">
        <v>79</v>
      </c>
      <c r="J234" s="2">
        <v>355.78</v>
      </c>
      <c r="K234" s="2">
        <v>1.02701</v>
      </c>
      <c r="L234" s="2" t="s">
        <v>76</v>
      </c>
      <c r="M234" s="2" t="s">
        <v>179</v>
      </c>
      <c r="N234" s="2">
        <f t="shared" ca="1" si="9"/>
        <v>13</v>
      </c>
      <c r="O234" s="6">
        <f t="shared" ca="1" si="10"/>
        <v>45456</v>
      </c>
      <c r="P234" s="2">
        <f t="shared" ca="1" si="11"/>
        <v>1</v>
      </c>
    </row>
    <row r="235" spans="1:16" x14ac:dyDescent="0.35">
      <c r="A235" s="2" t="s">
        <v>42</v>
      </c>
      <c r="B235" s="2">
        <v>789260</v>
      </c>
      <c r="C235" s="2">
        <v>360</v>
      </c>
      <c r="D235" s="2">
        <v>2889533</v>
      </c>
      <c r="E235" s="2" t="s">
        <v>220</v>
      </c>
      <c r="F235" s="6" t="s">
        <v>78</v>
      </c>
      <c r="G235" s="6" t="s">
        <v>204</v>
      </c>
      <c r="H235" s="2">
        <v>46521</v>
      </c>
      <c r="I235" s="2" t="s">
        <v>79</v>
      </c>
      <c r="J235" s="2">
        <v>4251.38</v>
      </c>
      <c r="K235" s="2">
        <v>1.0420100000000001</v>
      </c>
      <c r="L235" s="2" t="s">
        <v>65</v>
      </c>
      <c r="M235" s="2" t="s">
        <v>425</v>
      </c>
      <c r="N235" s="2">
        <f t="shared" ca="1" si="9"/>
        <v>13</v>
      </c>
      <c r="O235" s="6">
        <f t="shared" ca="1" si="10"/>
        <v>45456</v>
      </c>
      <c r="P235" s="2">
        <f t="shared" ca="1" si="11"/>
        <v>1</v>
      </c>
    </row>
    <row r="236" spans="1:16" x14ac:dyDescent="0.35">
      <c r="A236" s="2" t="s">
        <v>42</v>
      </c>
      <c r="B236" s="2">
        <v>789219</v>
      </c>
      <c r="C236" s="2">
        <v>360</v>
      </c>
      <c r="D236" s="2">
        <v>2889426</v>
      </c>
      <c r="E236" s="2" t="s">
        <v>220</v>
      </c>
      <c r="F236" s="6" t="s">
        <v>78</v>
      </c>
      <c r="G236" s="6" t="s">
        <v>204</v>
      </c>
      <c r="H236" s="2">
        <v>46516</v>
      </c>
      <c r="I236" s="2" t="s">
        <v>68</v>
      </c>
      <c r="J236" s="2">
        <v>11438.44</v>
      </c>
      <c r="K236" s="2">
        <v>1.09501</v>
      </c>
      <c r="L236" s="2" t="s">
        <v>65</v>
      </c>
      <c r="M236" s="2" t="s">
        <v>192</v>
      </c>
      <c r="N236" s="2">
        <f t="shared" ca="1" si="9"/>
        <v>13</v>
      </c>
      <c r="O236" s="6">
        <f t="shared" ca="1" si="10"/>
        <v>45456</v>
      </c>
      <c r="P236" s="2">
        <f t="shared" ca="1" si="11"/>
        <v>1</v>
      </c>
    </row>
    <row r="237" spans="1:16" x14ac:dyDescent="0.35">
      <c r="A237" s="2" t="s">
        <v>42</v>
      </c>
      <c r="B237" s="2">
        <v>789211</v>
      </c>
      <c r="C237" s="2">
        <v>360</v>
      </c>
      <c r="D237" s="2">
        <v>2889375</v>
      </c>
      <c r="E237" s="2" t="s">
        <v>220</v>
      </c>
      <c r="F237" s="6" t="s">
        <v>78</v>
      </c>
      <c r="G237" s="6" t="s">
        <v>204</v>
      </c>
      <c r="H237" s="2">
        <v>46509</v>
      </c>
      <c r="I237" s="2" t="s">
        <v>68</v>
      </c>
      <c r="J237" s="2">
        <v>10805.9</v>
      </c>
      <c r="K237" s="2">
        <v>1.08202</v>
      </c>
      <c r="L237" s="2" t="s">
        <v>65</v>
      </c>
      <c r="M237" s="2" t="s">
        <v>163</v>
      </c>
      <c r="N237" s="2">
        <f t="shared" ca="1" si="9"/>
        <v>13</v>
      </c>
      <c r="O237" s="6">
        <f t="shared" ca="1" si="10"/>
        <v>45456</v>
      </c>
      <c r="P237" s="2">
        <f t="shared" ca="1" si="11"/>
        <v>1</v>
      </c>
    </row>
    <row r="238" spans="1:16" x14ac:dyDescent="0.35">
      <c r="A238" s="2" t="s">
        <v>42</v>
      </c>
      <c r="B238" s="2">
        <v>789198</v>
      </c>
      <c r="C238" s="2">
        <v>360</v>
      </c>
      <c r="D238" s="2">
        <v>2889315</v>
      </c>
      <c r="E238" s="2" t="s">
        <v>220</v>
      </c>
      <c r="F238" s="6" t="s">
        <v>78</v>
      </c>
      <c r="G238" s="6" t="s">
        <v>204</v>
      </c>
      <c r="H238" s="2">
        <v>46502</v>
      </c>
      <c r="I238" s="2" t="s">
        <v>68</v>
      </c>
      <c r="J238" s="2">
        <v>5763.61</v>
      </c>
      <c r="K238" s="2">
        <v>1.0460199999999999</v>
      </c>
      <c r="L238" s="2" t="s">
        <v>65</v>
      </c>
      <c r="M238" s="2" t="s">
        <v>66</v>
      </c>
      <c r="N238" s="2">
        <f t="shared" ca="1" si="9"/>
        <v>13</v>
      </c>
      <c r="O238" s="6">
        <f t="shared" ca="1" si="10"/>
        <v>45456</v>
      </c>
      <c r="P238" s="2">
        <f t="shared" ca="1" si="11"/>
        <v>1</v>
      </c>
    </row>
    <row r="239" spans="1:16" x14ac:dyDescent="0.35">
      <c r="A239" s="2" t="s">
        <v>42</v>
      </c>
      <c r="B239" s="2">
        <v>789179</v>
      </c>
      <c r="C239" s="2">
        <v>360</v>
      </c>
      <c r="D239" s="2">
        <v>2889204</v>
      </c>
      <c r="E239" s="2" t="s">
        <v>220</v>
      </c>
      <c r="F239" s="6" t="s">
        <v>78</v>
      </c>
      <c r="G239" s="6" t="s">
        <v>204</v>
      </c>
      <c r="H239" s="2">
        <v>46493</v>
      </c>
      <c r="I239" s="2" t="s">
        <v>68</v>
      </c>
      <c r="J239" s="2">
        <v>10706.04</v>
      </c>
      <c r="K239" s="2">
        <v>1.04603</v>
      </c>
      <c r="L239" s="2" t="s">
        <v>65</v>
      </c>
      <c r="M239" s="2" t="s">
        <v>66</v>
      </c>
      <c r="N239" s="2">
        <f t="shared" ca="1" si="9"/>
        <v>13</v>
      </c>
      <c r="O239" s="6">
        <f t="shared" ca="1" si="10"/>
        <v>45456</v>
      </c>
      <c r="P239" s="2">
        <f t="shared" ca="1" si="11"/>
        <v>1</v>
      </c>
    </row>
    <row r="240" spans="1:16" x14ac:dyDescent="0.35">
      <c r="A240" s="2" t="s">
        <v>42</v>
      </c>
      <c r="B240" s="2">
        <v>789168</v>
      </c>
      <c r="C240" s="2">
        <v>360</v>
      </c>
      <c r="D240" s="2">
        <v>2889340</v>
      </c>
      <c r="E240" s="2" t="s">
        <v>220</v>
      </c>
      <c r="F240" s="6" t="s">
        <v>78</v>
      </c>
      <c r="G240" s="6" t="s">
        <v>204</v>
      </c>
      <c r="H240" s="2">
        <v>46489</v>
      </c>
      <c r="I240" s="2" t="s">
        <v>68</v>
      </c>
      <c r="J240" s="2">
        <v>144451.24</v>
      </c>
      <c r="K240" s="2">
        <v>1.02701</v>
      </c>
      <c r="L240" s="2" t="s">
        <v>65</v>
      </c>
      <c r="M240" s="2" t="s">
        <v>179</v>
      </c>
      <c r="N240" s="2">
        <f t="shared" ca="1" si="9"/>
        <v>13</v>
      </c>
      <c r="O240" s="6">
        <f t="shared" ca="1" si="10"/>
        <v>45456</v>
      </c>
      <c r="P240" s="2">
        <f t="shared" ca="1" si="11"/>
        <v>1</v>
      </c>
    </row>
    <row r="241" spans="1:16" x14ac:dyDescent="0.35">
      <c r="A241" s="2" t="s">
        <v>42</v>
      </c>
      <c r="B241" s="2">
        <v>789167</v>
      </c>
      <c r="C241" s="2">
        <v>360</v>
      </c>
      <c r="D241" s="2">
        <v>2889182</v>
      </c>
      <c r="E241" s="2" t="s">
        <v>220</v>
      </c>
      <c r="F241" s="6" t="s">
        <v>78</v>
      </c>
      <c r="G241" s="6" t="s">
        <v>204</v>
      </c>
      <c r="H241" s="2">
        <v>46488</v>
      </c>
      <c r="I241" s="2" t="s">
        <v>68</v>
      </c>
      <c r="J241" s="2">
        <v>20285.36</v>
      </c>
      <c r="K241" s="2">
        <v>1.00101</v>
      </c>
      <c r="L241" s="2" t="s">
        <v>65</v>
      </c>
      <c r="M241" s="2" t="s">
        <v>86</v>
      </c>
      <c r="N241" s="2">
        <f t="shared" ca="1" si="9"/>
        <v>13</v>
      </c>
      <c r="O241" s="6">
        <f t="shared" ca="1" si="10"/>
        <v>45456</v>
      </c>
      <c r="P241" s="2">
        <f t="shared" ca="1" si="11"/>
        <v>1</v>
      </c>
    </row>
    <row r="242" spans="1:16" x14ac:dyDescent="0.35">
      <c r="A242" s="2" t="s">
        <v>38</v>
      </c>
      <c r="B242" s="2">
        <v>789137</v>
      </c>
      <c r="C242" s="2">
        <v>360</v>
      </c>
      <c r="D242" s="2">
        <v>2889357</v>
      </c>
      <c r="E242" s="2" t="s">
        <v>154</v>
      </c>
      <c r="F242" s="6" t="s">
        <v>124</v>
      </c>
      <c r="G242" s="6" t="s">
        <v>204</v>
      </c>
      <c r="H242" s="2">
        <v>410125</v>
      </c>
      <c r="I242" s="2" t="s">
        <v>68</v>
      </c>
      <c r="J242" s="2">
        <v>3987.04</v>
      </c>
      <c r="K242" s="2">
        <v>1.00901</v>
      </c>
      <c r="L242" s="2" t="s">
        <v>65</v>
      </c>
      <c r="M242" s="2" t="s">
        <v>195</v>
      </c>
      <c r="N242" s="2">
        <f t="shared" ca="1" si="9"/>
        <v>13</v>
      </c>
      <c r="O242" s="6">
        <f t="shared" ca="1" si="10"/>
        <v>45456</v>
      </c>
      <c r="P242" s="2">
        <f t="shared" ca="1" si="11"/>
        <v>1</v>
      </c>
    </row>
    <row r="243" spans="1:16" x14ac:dyDescent="0.35">
      <c r="A243" s="2" t="s">
        <v>38</v>
      </c>
      <c r="B243" s="2">
        <v>789111</v>
      </c>
      <c r="C243" s="2">
        <v>360</v>
      </c>
      <c r="D243" s="2">
        <v>2889183</v>
      </c>
      <c r="E243" s="2" t="s">
        <v>154</v>
      </c>
      <c r="F243" s="6" t="s">
        <v>124</v>
      </c>
      <c r="G243" s="6" t="s">
        <v>204</v>
      </c>
      <c r="H243" s="2">
        <v>410063</v>
      </c>
      <c r="I243" s="2" t="s">
        <v>68</v>
      </c>
      <c r="J243" s="2">
        <v>1885.28</v>
      </c>
      <c r="K243" s="2">
        <v>1.00301</v>
      </c>
      <c r="L243" s="2" t="s">
        <v>65</v>
      </c>
      <c r="M243" s="2" t="s">
        <v>259</v>
      </c>
      <c r="N243" s="2">
        <f t="shared" ca="1" si="9"/>
        <v>13</v>
      </c>
      <c r="O243" s="6">
        <f t="shared" ca="1" si="10"/>
        <v>45456</v>
      </c>
      <c r="P243" s="2">
        <f t="shared" ca="1" si="11"/>
        <v>1</v>
      </c>
    </row>
    <row r="244" spans="1:16" x14ac:dyDescent="0.35">
      <c r="A244" s="2" t="s">
        <v>38</v>
      </c>
      <c r="B244" s="2">
        <v>789093</v>
      </c>
      <c r="C244" s="2">
        <v>360</v>
      </c>
      <c r="D244" s="2">
        <v>2889128</v>
      </c>
      <c r="E244" s="2" t="s">
        <v>154</v>
      </c>
      <c r="F244" s="6" t="s">
        <v>124</v>
      </c>
      <c r="G244" s="6" t="s">
        <v>204</v>
      </c>
      <c r="H244" s="2">
        <v>410060</v>
      </c>
      <c r="I244" s="2" t="s">
        <v>68</v>
      </c>
      <c r="J244" s="2">
        <v>8360.2800000000007</v>
      </c>
      <c r="K244" s="2">
        <v>1.02701</v>
      </c>
      <c r="L244" s="2" t="s">
        <v>65</v>
      </c>
      <c r="M244" s="2" t="s">
        <v>179</v>
      </c>
      <c r="N244" s="2">
        <f t="shared" ca="1" si="9"/>
        <v>13</v>
      </c>
      <c r="O244" s="6">
        <f t="shared" ca="1" si="10"/>
        <v>45456</v>
      </c>
      <c r="P244" s="2">
        <f t="shared" ca="1" si="11"/>
        <v>1</v>
      </c>
    </row>
    <row r="245" spans="1:16" x14ac:dyDescent="0.35">
      <c r="A245" s="2" t="s">
        <v>38</v>
      </c>
      <c r="B245" s="2">
        <v>789091</v>
      </c>
      <c r="C245" s="2">
        <v>360</v>
      </c>
      <c r="D245" s="2">
        <v>2888985</v>
      </c>
      <c r="E245" s="2" t="s">
        <v>154</v>
      </c>
      <c r="F245" s="6" t="s">
        <v>124</v>
      </c>
      <c r="G245" s="6" t="s">
        <v>204</v>
      </c>
      <c r="H245" s="2">
        <v>410133</v>
      </c>
      <c r="I245" s="2" t="s">
        <v>79</v>
      </c>
      <c r="J245" s="2">
        <v>4446.5600000000004</v>
      </c>
      <c r="K245" s="2">
        <v>1.0960099999999999</v>
      </c>
      <c r="L245" s="2" t="s">
        <v>65</v>
      </c>
      <c r="M245" s="2" t="s">
        <v>234</v>
      </c>
      <c r="N245" s="2">
        <f t="shared" ca="1" si="9"/>
        <v>13</v>
      </c>
      <c r="O245" s="6">
        <f t="shared" ca="1" si="10"/>
        <v>45456</v>
      </c>
      <c r="P245" s="2">
        <f t="shared" ca="1" si="11"/>
        <v>1</v>
      </c>
    </row>
    <row r="246" spans="1:16" x14ac:dyDescent="0.35">
      <c r="A246" s="2" t="s">
        <v>38</v>
      </c>
      <c r="B246" s="2">
        <v>788910</v>
      </c>
      <c r="C246" s="2">
        <v>360</v>
      </c>
      <c r="D246" s="2">
        <v>2887371</v>
      </c>
      <c r="E246" s="2" t="s">
        <v>614</v>
      </c>
      <c r="F246" s="6" t="s">
        <v>135</v>
      </c>
      <c r="G246" s="6" t="s">
        <v>204</v>
      </c>
      <c r="H246" s="2">
        <v>1102</v>
      </c>
      <c r="I246" s="2" t="s">
        <v>68</v>
      </c>
      <c r="J246" s="2">
        <v>44779.83</v>
      </c>
      <c r="K246" s="2">
        <v>1.0740099999999999</v>
      </c>
      <c r="L246" s="2" t="s">
        <v>65</v>
      </c>
      <c r="M246" s="2" t="s">
        <v>105</v>
      </c>
      <c r="N246" s="2">
        <f t="shared" ca="1" si="9"/>
        <v>13</v>
      </c>
      <c r="O246" s="6">
        <f t="shared" ca="1" si="10"/>
        <v>45456</v>
      </c>
      <c r="P246" s="2">
        <f t="shared" ca="1" si="11"/>
        <v>1</v>
      </c>
    </row>
    <row r="247" spans="1:16" x14ac:dyDescent="0.35">
      <c r="A247" s="2" t="s">
        <v>36</v>
      </c>
      <c r="B247" s="2">
        <v>787334</v>
      </c>
      <c r="C247" s="2">
        <v>360</v>
      </c>
      <c r="D247" s="2">
        <v>2888609</v>
      </c>
      <c r="E247" s="2" t="s">
        <v>221</v>
      </c>
      <c r="F247" s="6" t="s">
        <v>111</v>
      </c>
      <c r="G247" s="6" t="s">
        <v>204</v>
      </c>
      <c r="H247" s="2">
        <v>50418</v>
      </c>
      <c r="I247" s="2" t="s">
        <v>68</v>
      </c>
      <c r="J247" s="2">
        <v>11700</v>
      </c>
      <c r="K247" s="2">
        <v>1.0010399999999999</v>
      </c>
      <c r="L247" s="2" t="s">
        <v>65</v>
      </c>
      <c r="M247" s="2" t="s">
        <v>86</v>
      </c>
      <c r="N247" s="2">
        <f t="shared" ca="1" si="9"/>
        <v>13</v>
      </c>
      <c r="O247" s="6">
        <f t="shared" ca="1" si="10"/>
        <v>45456</v>
      </c>
      <c r="P247" s="2">
        <f t="shared" ca="1" si="11"/>
        <v>1</v>
      </c>
    </row>
    <row r="248" spans="1:16" x14ac:dyDescent="0.35">
      <c r="A248" s="2" t="s">
        <v>42</v>
      </c>
      <c r="B248" s="2">
        <v>785919</v>
      </c>
      <c r="C248" s="2">
        <v>360</v>
      </c>
      <c r="D248" s="2">
        <v>2881153</v>
      </c>
      <c r="E248" s="2" t="s">
        <v>220</v>
      </c>
      <c r="F248" s="6" t="s">
        <v>129</v>
      </c>
      <c r="G248" s="6" t="s">
        <v>204</v>
      </c>
      <c r="H248" s="2">
        <v>46380</v>
      </c>
      <c r="I248" s="2" t="s">
        <v>68</v>
      </c>
      <c r="J248" s="2">
        <v>57313.62</v>
      </c>
      <c r="K248" s="2">
        <v>1.0060100000000001</v>
      </c>
      <c r="L248" s="2" t="s">
        <v>65</v>
      </c>
      <c r="M248" s="2" t="s">
        <v>184</v>
      </c>
      <c r="N248" s="2">
        <f t="shared" ca="1" si="9"/>
        <v>13</v>
      </c>
      <c r="O248" s="6">
        <f t="shared" ca="1" si="10"/>
        <v>45456</v>
      </c>
      <c r="P248" s="2">
        <f t="shared" ca="1" si="11"/>
        <v>1</v>
      </c>
    </row>
    <row r="249" spans="1:16" x14ac:dyDescent="0.35">
      <c r="A249" s="2" t="s">
        <v>42</v>
      </c>
      <c r="B249" s="2">
        <v>785908</v>
      </c>
      <c r="C249" s="2">
        <v>360</v>
      </c>
      <c r="D249" s="2">
        <v>2881150</v>
      </c>
      <c r="E249" s="2" t="s">
        <v>220</v>
      </c>
      <c r="F249" s="6" t="s">
        <v>129</v>
      </c>
      <c r="G249" s="6" t="s">
        <v>204</v>
      </c>
      <c r="H249" s="2">
        <v>46377</v>
      </c>
      <c r="I249" s="2" t="s">
        <v>68</v>
      </c>
      <c r="J249" s="2">
        <v>20285.36</v>
      </c>
      <c r="K249" s="2">
        <v>1.00101</v>
      </c>
      <c r="L249" s="2" t="s">
        <v>65</v>
      </c>
      <c r="M249" s="2" t="s">
        <v>86</v>
      </c>
      <c r="N249" s="2">
        <f t="shared" ca="1" si="9"/>
        <v>13</v>
      </c>
      <c r="O249" s="6">
        <f t="shared" ca="1" si="10"/>
        <v>45456</v>
      </c>
      <c r="P249" s="2">
        <f t="shared" ca="1" si="11"/>
        <v>1</v>
      </c>
    </row>
    <row r="250" spans="1:16" x14ac:dyDescent="0.35">
      <c r="A250" s="2" t="s">
        <v>42</v>
      </c>
      <c r="B250" s="2">
        <v>784694</v>
      </c>
      <c r="C250" s="2">
        <v>360</v>
      </c>
      <c r="D250" s="2">
        <v>2879526</v>
      </c>
      <c r="E250" s="2" t="s">
        <v>222</v>
      </c>
      <c r="F250" s="6" t="s">
        <v>139</v>
      </c>
      <c r="G250" s="6" t="s">
        <v>204</v>
      </c>
      <c r="H250" s="2">
        <v>1745</v>
      </c>
      <c r="I250" s="2" t="s">
        <v>68</v>
      </c>
      <c r="J250" s="2">
        <v>938</v>
      </c>
      <c r="K250" s="2">
        <v>1.0300100000000001</v>
      </c>
      <c r="L250" s="2" t="s">
        <v>65</v>
      </c>
      <c r="M250" s="2" t="s">
        <v>156</v>
      </c>
      <c r="N250" s="2">
        <f t="shared" ca="1" si="9"/>
        <v>13</v>
      </c>
      <c r="O250" s="6">
        <f t="shared" ca="1" si="10"/>
        <v>45456</v>
      </c>
      <c r="P250" s="2">
        <f t="shared" ca="1" si="11"/>
        <v>1</v>
      </c>
    </row>
    <row r="251" spans="1:16" x14ac:dyDescent="0.35">
      <c r="A251" s="2" t="s">
        <v>40</v>
      </c>
      <c r="B251" s="2">
        <v>782091</v>
      </c>
      <c r="C251" s="2">
        <v>360</v>
      </c>
      <c r="D251" s="2">
        <v>2873184</v>
      </c>
      <c r="E251" s="2" t="s">
        <v>615</v>
      </c>
      <c r="F251" s="6" t="s">
        <v>135</v>
      </c>
      <c r="G251" s="6" t="s">
        <v>152</v>
      </c>
      <c r="H251" s="2">
        <v>19656</v>
      </c>
      <c r="I251" s="2" t="s">
        <v>79</v>
      </c>
      <c r="J251" s="2">
        <v>1134.3</v>
      </c>
      <c r="K251" s="2">
        <v>1.05802</v>
      </c>
      <c r="L251" s="2" t="s">
        <v>76</v>
      </c>
      <c r="M251" s="2" t="s">
        <v>469</v>
      </c>
      <c r="N251" s="2">
        <f t="shared" ca="1" si="9"/>
        <v>15</v>
      </c>
      <c r="O251" s="6">
        <f t="shared" ca="1" si="10"/>
        <v>45456</v>
      </c>
      <c r="P251" s="2">
        <f t="shared" ca="1" si="11"/>
        <v>1</v>
      </c>
    </row>
    <row r="252" spans="1:16" x14ac:dyDescent="0.35">
      <c r="A252" s="2" t="s">
        <v>40</v>
      </c>
      <c r="B252" s="2">
        <v>782072</v>
      </c>
      <c r="C252" s="2">
        <v>360</v>
      </c>
      <c r="D252" s="2">
        <v>2873174</v>
      </c>
      <c r="E252" s="2" t="s">
        <v>615</v>
      </c>
      <c r="F252" s="6" t="s">
        <v>135</v>
      </c>
      <c r="G252" s="6" t="s">
        <v>152</v>
      </c>
      <c r="H252" s="2">
        <v>19658</v>
      </c>
      <c r="I252" s="2" t="s">
        <v>79</v>
      </c>
      <c r="J252" s="2">
        <v>1445.9</v>
      </c>
      <c r="K252" s="2">
        <v>1.0490200000000001</v>
      </c>
      <c r="L252" s="2" t="s">
        <v>76</v>
      </c>
      <c r="M252" s="2" t="s">
        <v>166</v>
      </c>
      <c r="N252" s="2">
        <f t="shared" ca="1" si="9"/>
        <v>15</v>
      </c>
      <c r="O252" s="6">
        <f t="shared" ca="1" si="10"/>
        <v>45456</v>
      </c>
      <c r="P252" s="2">
        <f t="shared" ca="1" si="11"/>
        <v>1</v>
      </c>
    </row>
    <row r="253" spans="1:16" x14ac:dyDescent="0.35">
      <c r="A253" s="2" t="s">
        <v>40</v>
      </c>
      <c r="B253" s="2">
        <v>782035</v>
      </c>
      <c r="C253" s="2">
        <v>360</v>
      </c>
      <c r="D253" s="2">
        <v>2873162</v>
      </c>
      <c r="E253" s="2" t="s">
        <v>615</v>
      </c>
      <c r="F253" s="6" t="s">
        <v>135</v>
      </c>
      <c r="G253" s="6" t="s">
        <v>152</v>
      </c>
      <c r="H253" s="2">
        <v>19660</v>
      </c>
      <c r="I253" s="2" t="s">
        <v>79</v>
      </c>
      <c r="J253" s="2">
        <v>651.70000000000005</v>
      </c>
      <c r="K253" s="2">
        <v>1.04101</v>
      </c>
      <c r="L253" s="2" t="s">
        <v>76</v>
      </c>
      <c r="M253" s="2" t="s">
        <v>443</v>
      </c>
      <c r="N253" s="2">
        <f t="shared" ca="1" si="9"/>
        <v>15</v>
      </c>
      <c r="O253" s="6">
        <f t="shared" ca="1" si="10"/>
        <v>45456</v>
      </c>
      <c r="P253" s="2">
        <f t="shared" ca="1" si="11"/>
        <v>1</v>
      </c>
    </row>
    <row r="254" spans="1:16" x14ac:dyDescent="0.35">
      <c r="A254" s="2" t="s">
        <v>38</v>
      </c>
      <c r="B254" s="2">
        <v>781467</v>
      </c>
      <c r="C254" s="2">
        <v>360</v>
      </c>
      <c r="D254" s="2">
        <v>2871316</v>
      </c>
      <c r="E254" s="2" t="s">
        <v>436</v>
      </c>
      <c r="F254" s="6" t="s">
        <v>178</v>
      </c>
      <c r="G254" s="6" t="s">
        <v>204</v>
      </c>
      <c r="H254" s="2">
        <v>2393</v>
      </c>
      <c r="I254" s="2" t="s">
        <v>68</v>
      </c>
      <c r="J254" s="2">
        <v>1710</v>
      </c>
      <c r="K254" s="2">
        <v>1.0920099999999999</v>
      </c>
      <c r="L254" s="2" t="s">
        <v>65</v>
      </c>
      <c r="M254" s="2" t="s">
        <v>164</v>
      </c>
      <c r="N254" s="2">
        <f t="shared" ca="1" si="9"/>
        <v>13</v>
      </c>
      <c r="O254" s="6">
        <f t="shared" ca="1" si="10"/>
        <v>45456</v>
      </c>
      <c r="P254" s="2">
        <f t="shared" ca="1" si="11"/>
        <v>1</v>
      </c>
    </row>
    <row r="255" spans="1:16" x14ac:dyDescent="0.35">
      <c r="A255" s="2" t="s">
        <v>36</v>
      </c>
      <c r="B255" s="2">
        <v>781464</v>
      </c>
      <c r="C255" s="2">
        <v>360</v>
      </c>
      <c r="D255" s="2">
        <v>2871067</v>
      </c>
      <c r="E255" s="2" t="s">
        <v>223</v>
      </c>
      <c r="F255" s="6" t="s">
        <v>135</v>
      </c>
      <c r="G255" s="6" t="s">
        <v>204</v>
      </c>
      <c r="H255" s="2">
        <v>4511</v>
      </c>
      <c r="I255" s="2" t="s">
        <v>68</v>
      </c>
      <c r="J255" s="2">
        <v>1762.43</v>
      </c>
      <c r="K255" s="2">
        <v>1.0340100000000001</v>
      </c>
      <c r="L255" s="2" t="s">
        <v>65</v>
      </c>
      <c r="M255" s="2" t="s">
        <v>159</v>
      </c>
      <c r="N255" s="2">
        <f t="shared" ca="1" si="9"/>
        <v>13</v>
      </c>
      <c r="O255" s="6">
        <f t="shared" ca="1" si="10"/>
        <v>45456</v>
      </c>
      <c r="P255" s="2">
        <f t="shared" ca="1" si="11"/>
        <v>1</v>
      </c>
    </row>
    <row r="256" spans="1:16" x14ac:dyDescent="0.35">
      <c r="A256" s="2" t="s">
        <v>38</v>
      </c>
      <c r="B256" s="2">
        <v>781461</v>
      </c>
      <c r="C256" s="2">
        <v>360</v>
      </c>
      <c r="D256" s="2">
        <v>2871090</v>
      </c>
      <c r="E256" s="2" t="s">
        <v>436</v>
      </c>
      <c r="F256" s="6" t="s">
        <v>178</v>
      </c>
      <c r="G256" s="6" t="s">
        <v>204</v>
      </c>
      <c r="H256" s="2">
        <v>2388</v>
      </c>
      <c r="I256" s="2" t="s">
        <v>68</v>
      </c>
      <c r="J256" s="2">
        <v>800</v>
      </c>
      <c r="K256" s="2">
        <v>1.09701</v>
      </c>
      <c r="L256" s="2" t="s">
        <v>65</v>
      </c>
      <c r="M256" s="2" t="s">
        <v>417</v>
      </c>
      <c r="N256" s="2">
        <f t="shared" ca="1" si="9"/>
        <v>13</v>
      </c>
      <c r="O256" s="6">
        <f t="shared" ca="1" si="10"/>
        <v>45456</v>
      </c>
      <c r="P256" s="2">
        <f t="shared" ca="1" si="11"/>
        <v>1</v>
      </c>
    </row>
    <row r="257" spans="1:16" x14ac:dyDescent="0.35">
      <c r="A257" s="2" t="s">
        <v>42</v>
      </c>
      <c r="B257" s="2">
        <v>790935</v>
      </c>
      <c r="C257" s="2">
        <v>360</v>
      </c>
      <c r="D257" s="2">
        <v>2891496</v>
      </c>
      <c r="E257" s="2" t="s">
        <v>616</v>
      </c>
      <c r="F257" s="6" t="s">
        <v>124</v>
      </c>
      <c r="G257" s="6" t="s">
        <v>224</v>
      </c>
      <c r="H257" s="2">
        <v>142849</v>
      </c>
      <c r="I257" s="2" t="s">
        <v>68</v>
      </c>
      <c r="J257" s="2">
        <v>3219.3</v>
      </c>
      <c r="K257" s="2">
        <v>1.0920099999999999</v>
      </c>
      <c r="L257" s="2" t="s">
        <v>65</v>
      </c>
      <c r="M257" s="2" t="s">
        <v>164</v>
      </c>
      <c r="N257" s="2">
        <f t="shared" ca="1" si="9"/>
        <v>20</v>
      </c>
      <c r="O257" s="6">
        <f t="shared" ca="1" si="10"/>
        <v>45456</v>
      </c>
      <c r="P257" s="2">
        <f t="shared" ca="1" si="11"/>
        <v>1</v>
      </c>
    </row>
    <row r="258" spans="1:16" x14ac:dyDescent="0.35">
      <c r="A258" s="2" t="s">
        <v>42</v>
      </c>
      <c r="B258" s="2">
        <v>790934</v>
      </c>
      <c r="C258" s="2">
        <v>360</v>
      </c>
      <c r="D258" s="2">
        <v>2891495</v>
      </c>
      <c r="E258" s="2" t="s">
        <v>616</v>
      </c>
      <c r="F258" s="6" t="s">
        <v>124</v>
      </c>
      <c r="G258" s="6" t="s">
        <v>224</v>
      </c>
      <c r="H258" s="2">
        <v>142796</v>
      </c>
      <c r="I258" s="2" t="s">
        <v>68</v>
      </c>
      <c r="J258" s="2">
        <v>3219.3</v>
      </c>
      <c r="K258" s="2">
        <v>1.09301</v>
      </c>
      <c r="L258" s="2" t="s">
        <v>65</v>
      </c>
      <c r="M258" s="2" t="s">
        <v>617</v>
      </c>
      <c r="N258" s="2">
        <f t="shared" ca="1" si="9"/>
        <v>20</v>
      </c>
      <c r="O258" s="6">
        <f t="shared" ca="1" si="10"/>
        <v>45456</v>
      </c>
      <c r="P258" s="2">
        <f t="shared" ca="1" si="11"/>
        <v>1</v>
      </c>
    </row>
    <row r="259" spans="1:16" x14ac:dyDescent="0.35">
      <c r="A259" s="2" t="s">
        <v>40</v>
      </c>
      <c r="B259" s="2">
        <v>790923</v>
      </c>
      <c r="C259" s="2">
        <v>360</v>
      </c>
      <c r="D259" s="2">
        <v>2891512</v>
      </c>
      <c r="E259" s="2" t="s">
        <v>618</v>
      </c>
      <c r="F259" s="6" t="s">
        <v>74</v>
      </c>
      <c r="G259" s="6" t="s">
        <v>247</v>
      </c>
      <c r="H259" s="2">
        <v>2581</v>
      </c>
      <c r="I259" s="2" t="s">
        <v>68</v>
      </c>
      <c r="J259" s="2">
        <v>3424.74</v>
      </c>
      <c r="K259" s="2">
        <v>1.0740099999999999</v>
      </c>
      <c r="L259" s="2" t="s">
        <v>65</v>
      </c>
      <c r="M259" s="2" t="s">
        <v>105</v>
      </c>
      <c r="N259" s="2">
        <f t="shared" ref="N259:N322" ca="1" si="12">IF(G259 &lt; TODAY(), -NETWORKDAYS(G259, TODAY()), NETWORKDAYS(TODAY(), G259))</f>
        <v>21</v>
      </c>
      <c r="O259" s="6">
        <f t="shared" ref="O259:O322" ca="1" si="13">TODAY()</f>
        <v>45456</v>
      </c>
      <c r="P259" s="2">
        <f t="shared" ref="P259:P322" ca="1" si="14">NETWORKDAYS(O259,TODAY())</f>
        <v>1</v>
      </c>
    </row>
    <row r="260" spans="1:16" x14ac:dyDescent="0.35">
      <c r="A260" s="2" t="s">
        <v>38</v>
      </c>
      <c r="B260" s="2">
        <v>790870</v>
      </c>
      <c r="C260" s="2">
        <v>360</v>
      </c>
      <c r="D260" s="2">
        <v>2890726</v>
      </c>
      <c r="E260" s="2" t="s">
        <v>619</v>
      </c>
      <c r="F260" s="6" t="s">
        <v>74</v>
      </c>
      <c r="G260" s="6" t="s">
        <v>247</v>
      </c>
      <c r="H260" s="2">
        <v>16371</v>
      </c>
      <c r="I260" s="2" t="s">
        <v>79</v>
      </c>
      <c r="J260" s="2">
        <v>883.5</v>
      </c>
      <c r="K260" s="2">
        <v>1.0740099999999999</v>
      </c>
      <c r="L260" s="2" t="s">
        <v>65</v>
      </c>
      <c r="M260" s="2" t="s">
        <v>105</v>
      </c>
      <c r="N260" s="2">
        <f t="shared" ca="1" si="12"/>
        <v>21</v>
      </c>
      <c r="O260" s="6">
        <f t="shared" ca="1" si="13"/>
        <v>45456</v>
      </c>
      <c r="P260" s="2">
        <f t="shared" ca="1" si="14"/>
        <v>1</v>
      </c>
    </row>
    <row r="261" spans="1:16" x14ac:dyDescent="0.35">
      <c r="A261" s="2" t="s">
        <v>38</v>
      </c>
      <c r="B261" s="2">
        <v>790741</v>
      </c>
      <c r="C261" s="2">
        <v>360</v>
      </c>
      <c r="D261" s="2">
        <v>2890283</v>
      </c>
      <c r="E261" s="2" t="s">
        <v>118</v>
      </c>
      <c r="F261" s="6" t="s">
        <v>124</v>
      </c>
      <c r="G261" s="6" t="s">
        <v>224</v>
      </c>
      <c r="H261" s="2">
        <v>415544</v>
      </c>
      <c r="I261" s="2" t="s">
        <v>79</v>
      </c>
      <c r="J261" s="2">
        <v>358.11</v>
      </c>
      <c r="K261" s="2">
        <v>1.0740099999999999</v>
      </c>
      <c r="L261" s="2" t="s">
        <v>76</v>
      </c>
      <c r="M261" s="2" t="s">
        <v>105</v>
      </c>
      <c r="N261" s="2">
        <f t="shared" ca="1" si="12"/>
        <v>20</v>
      </c>
      <c r="O261" s="6">
        <f t="shared" ca="1" si="13"/>
        <v>45456</v>
      </c>
      <c r="P261" s="2">
        <f t="shared" ca="1" si="14"/>
        <v>1</v>
      </c>
    </row>
    <row r="262" spans="1:16" x14ac:dyDescent="0.35">
      <c r="A262" s="2" t="s">
        <v>36</v>
      </c>
      <c r="B262" s="2">
        <v>790730</v>
      </c>
      <c r="C262" s="2">
        <v>360</v>
      </c>
      <c r="D262" s="2">
        <v>2890276</v>
      </c>
      <c r="E262" s="2" t="s">
        <v>470</v>
      </c>
      <c r="F262" s="6" t="s">
        <v>124</v>
      </c>
      <c r="G262" s="6" t="s">
        <v>231</v>
      </c>
      <c r="H262" s="2">
        <v>24</v>
      </c>
      <c r="I262" s="2" t="s">
        <v>68</v>
      </c>
      <c r="J262" s="2">
        <v>7004.32</v>
      </c>
      <c r="K262" s="2">
        <v>1.0740099999999999</v>
      </c>
      <c r="L262" s="2" t="s">
        <v>76</v>
      </c>
      <c r="M262" s="2" t="s">
        <v>105</v>
      </c>
      <c r="N262" s="2">
        <f t="shared" ca="1" si="12"/>
        <v>18</v>
      </c>
      <c r="O262" s="6">
        <f t="shared" ca="1" si="13"/>
        <v>45456</v>
      </c>
      <c r="P262" s="2">
        <f t="shared" ca="1" si="14"/>
        <v>1</v>
      </c>
    </row>
    <row r="263" spans="1:16" x14ac:dyDescent="0.35">
      <c r="A263" s="2" t="s">
        <v>36</v>
      </c>
      <c r="B263" s="2">
        <v>790676</v>
      </c>
      <c r="C263" s="2">
        <v>360</v>
      </c>
      <c r="D263" s="2">
        <v>2890284</v>
      </c>
      <c r="E263" s="2" t="s">
        <v>470</v>
      </c>
      <c r="F263" s="6" t="s">
        <v>124</v>
      </c>
      <c r="G263" s="6" t="s">
        <v>231</v>
      </c>
      <c r="H263" s="2">
        <v>5905</v>
      </c>
      <c r="I263" s="2" t="s">
        <v>68</v>
      </c>
      <c r="J263" s="2">
        <v>673.12</v>
      </c>
      <c r="K263" s="2">
        <v>1.0740099999999999</v>
      </c>
      <c r="L263" s="2" t="s">
        <v>76</v>
      </c>
      <c r="M263" s="2" t="s">
        <v>105</v>
      </c>
      <c r="N263" s="2">
        <f t="shared" ca="1" si="12"/>
        <v>18</v>
      </c>
      <c r="O263" s="6">
        <f t="shared" ca="1" si="13"/>
        <v>45456</v>
      </c>
      <c r="P263" s="2">
        <f t="shared" ca="1" si="14"/>
        <v>1</v>
      </c>
    </row>
    <row r="264" spans="1:16" x14ac:dyDescent="0.35">
      <c r="A264" s="2" t="s">
        <v>42</v>
      </c>
      <c r="B264" s="2">
        <v>790521</v>
      </c>
      <c r="C264" s="2">
        <v>360</v>
      </c>
      <c r="D264" s="2">
        <v>2890265</v>
      </c>
      <c r="E264" s="2" t="s">
        <v>620</v>
      </c>
      <c r="F264" s="6" t="s">
        <v>124</v>
      </c>
      <c r="G264" s="6" t="s">
        <v>231</v>
      </c>
      <c r="H264" s="2">
        <v>17739</v>
      </c>
      <c r="I264" s="2" t="s">
        <v>79</v>
      </c>
      <c r="J264" s="2">
        <v>145</v>
      </c>
      <c r="K264" s="2">
        <v>1.1000099999999999</v>
      </c>
      <c r="L264" s="2" t="s">
        <v>76</v>
      </c>
      <c r="M264" s="2" t="s">
        <v>217</v>
      </c>
      <c r="N264" s="2">
        <f t="shared" ca="1" si="12"/>
        <v>18</v>
      </c>
      <c r="O264" s="6">
        <f t="shared" ca="1" si="13"/>
        <v>45456</v>
      </c>
      <c r="P264" s="2">
        <f t="shared" ca="1" si="14"/>
        <v>1</v>
      </c>
    </row>
    <row r="265" spans="1:16" x14ac:dyDescent="0.35">
      <c r="A265" s="2" t="s">
        <v>40</v>
      </c>
      <c r="B265" s="2">
        <v>790519</v>
      </c>
      <c r="C265" s="2">
        <v>360</v>
      </c>
      <c r="D265" s="2">
        <v>2890255</v>
      </c>
      <c r="E265" s="2" t="s">
        <v>621</v>
      </c>
      <c r="F265" s="6" t="s">
        <v>124</v>
      </c>
      <c r="G265" s="6" t="s">
        <v>224</v>
      </c>
      <c r="H265" s="2">
        <v>1791</v>
      </c>
      <c r="I265" s="2" t="s">
        <v>79</v>
      </c>
      <c r="J265" s="2">
        <v>33.61</v>
      </c>
      <c r="K265" s="2">
        <v>1.1000099999999999</v>
      </c>
      <c r="L265" s="2" t="s">
        <v>76</v>
      </c>
      <c r="M265" s="2" t="s">
        <v>217</v>
      </c>
      <c r="N265" s="2">
        <f t="shared" ca="1" si="12"/>
        <v>20</v>
      </c>
      <c r="O265" s="6">
        <f t="shared" ca="1" si="13"/>
        <v>45456</v>
      </c>
      <c r="P265" s="2">
        <f t="shared" ca="1" si="14"/>
        <v>1</v>
      </c>
    </row>
    <row r="266" spans="1:16" x14ac:dyDescent="0.35">
      <c r="A266" s="2" t="s">
        <v>38</v>
      </c>
      <c r="B266" s="2">
        <v>790338</v>
      </c>
      <c r="C266" s="2">
        <v>360</v>
      </c>
      <c r="D266" s="2">
        <v>2890201</v>
      </c>
      <c r="E266" s="2" t="s">
        <v>622</v>
      </c>
      <c r="F266" s="6" t="s">
        <v>124</v>
      </c>
      <c r="G266" s="6" t="s">
        <v>224</v>
      </c>
      <c r="H266" s="2">
        <v>10059</v>
      </c>
      <c r="I266" s="2" t="s">
        <v>79</v>
      </c>
      <c r="J266" s="2">
        <v>715.43</v>
      </c>
      <c r="K266" s="2">
        <v>1.0960099999999999</v>
      </c>
      <c r="L266" s="2" t="s">
        <v>76</v>
      </c>
      <c r="M266" s="2" t="s">
        <v>234</v>
      </c>
      <c r="N266" s="2">
        <f t="shared" ca="1" si="12"/>
        <v>20</v>
      </c>
      <c r="O266" s="6">
        <f t="shared" ca="1" si="13"/>
        <v>45456</v>
      </c>
      <c r="P266" s="2">
        <f t="shared" ca="1" si="14"/>
        <v>1</v>
      </c>
    </row>
    <row r="267" spans="1:16" x14ac:dyDescent="0.35">
      <c r="A267" s="2" t="s">
        <v>38</v>
      </c>
      <c r="B267" s="2">
        <v>790337</v>
      </c>
      <c r="C267" s="2">
        <v>360</v>
      </c>
      <c r="D267" s="2">
        <v>2890203</v>
      </c>
      <c r="E267" s="2" t="s">
        <v>622</v>
      </c>
      <c r="F267" s="6" t="s">
        <v>124</v>
      </c>
      <c r="G267" s="6" t="s">
        <v>224</v>
      </c>
      <c r="H267" s="2">
        <v>10058</v>
      </c>
      <c r="I267" s="2" t="s">
        <v>79</v>
      </c>
      <c r="J267" s="2">
        <v>439.2</v>
      </c>
      <c r="K267" s="2">
        <v>1.0960099999999999</v>
      </c>
      <c r="L267" s="2" t="s">
        <v>76</v>
      </c>
      <c r="M267" s="2" t="s">
        <v>234</v>
      </c>
      <c r="N267" s="2">
        <f t="shared" ca="1" si="12"/>
        <v>20</v>
      </c>
      <c r="O267" s="6">
        <f t="shared" ca="1" si="13"/>
        <v>45456</v>
      </c>
      <c r="P267" s="2">
        <f t="shared" ca="1" si="14"/>
        <v>1</v>
      </c>
    </row>
    <row r="268" spans="1:16" x14ac:dyDescent="0.35">
      <c r="A268" s="2" t="s">
        <v>36</v>
      </c>
      <c r="B268" s="2">
        <v>790276</v>
      </c>
      <c r="C268" s="2">
        <v>360</v>
      </c>
      <c r="D268" s="2">
        <v>2890202</v>
      </c>
      <c r="E268" s="2" t="s">
        <v>437</v>
      </c>
      <c r="F268" s="6" t="s">
        <v>124</v>
      </c>
      <c r="G268" s="6" t="s">
        <v>224</v>
      </c>
      <c r="H268" s="2">
        <v>800845</v>
      </c>
      <c r="I268" s="2" t="s">
        <v>79</v>
      </c>
      <c r="J268" s="2">
        <v>67.400000000000006</v>
      </c>
      <c r="K268" s="2">
        <v>1.09501</v>
      </c>
      <c r="L268" s="2" t="s">
        <v>76</v>
      </c>
      <c r="M268" s="2" t="s">
        <v>192</v>
      </c>
      <c r="N268" s="2">
        <f t="shared" ca="1" si="12"/>
        <v>20</v>
      </c>
      <c r="O268" s="6">
        <f t="shared" ca="1" si="13"/>
        <v>45456</v>
      </c>
      <c r="P268" s="2">
        <f t="shared" ca="1" si="14"/>
        <v>1</v>
      </c>
    </row>
    <row r="269" spans="1:16" x14ac:dyDescent="0.35">
      <c r="A269" s="2" t="s">
        <v>42</v>
      </c>
      <c r="B269" s="2">
        <v>789576</v>
      </c>
      <c r="C269" s="2">
        <v>360</v>
      </c>
      <c r="D269" s="2">
        <v>2890141</v>
      </c>
      <c r="E269" s="2" t="s">
        <v>623</v>
      </c>
      <c r="F269" s="6" t="s">
        <v>124</v>
      </c>
      <c r="G269" s="6" t="s">
        <v>255</v>
      </c>
      <c r="H269" s="2">
        <v>106118</v>
      </c>
      <c r="I269" s="2" t="s">
        <v>79</v>
      </c>
      <c r="J269" s="2">
        <v>2756.64</v>
      </c>
      <c r="K269" s="2">
        <v>1.01501</v>
      </c>
      <c r="L269" s="2" t="s">
        <v>76</v>
      </c>
      <c r="M269" s="2" t="s">
        <v>475</v>
      </c>
      <c r="N269" s="2">
        <f t="shared" ca="1" si="12"/>
        <v>23</v>
      </c>
      <c r="O269" s="6">
        <f t="shared" ca="1" si="13"/>
        <v>45456</v>
      </c>
      <c r="P269" s="2">
        <f t="shared" ca="1" si="14"/>
        <v>1</v>
      </c>
    </row>
    <row r="270" spans="1:16" x14ac:dyDescent="0.35">
      <c r="A270" s="2" t="s">
        <v>40</v>
      </c>
      <c r="B270" s="2">
        <v>789540</v>
      </c>
      <c r="C270" s="2">
        <v>360</v>
      </c>
      <c r="D270" s="2">
        <v>2890138</v>
      </c>
      <c r="E270" s="2" t="s">
        <v>624</v>
      </c>
      <c r="F270" s="6" t="s">
        <v>124</v>
      </c>
      <c r="G270" s="6" t="s">
        <v>231</v>
      </c>
      <c r="H270" s="2">
        <v>1257</v>
      </c>
      <c r="I270" s="2" t="s">
        <v>68</v>
      </c>
      <c r="J270" s="2">
        <v>1219.3599999999999</v>
      </c>
      <c r="K270" s="2">
        <v>1.00902</v>
      </c>
      <c r="L270" s="2" t="s">
        <v>76</v>
      </c>
      <c r="M270" s="2" t="s">
        <v>195</v>
      </c>
      <c r="N270" s="2">
        <f t="shared" ca="1" si="12"/>
        <v>18</v>
      </c>
      <c r="O270" s="6">
        <f t="shared" ca="1" si="13"/>
        <v>45456</v>
      </c>
      <c r="P270" s="2">
        <f t="shared" ca="1" si="14"/>
        <v>1</v>
      </c>
    </row>
    <row r="271" spans="1:16" x14ac:dyDescent="0.35">
      <c r="A271" s="2" t="s">
        <v>42</v>
      </c>
      <c r="B271" s="2">
        <v>789271</v>
      </c>
      <c r="C271" s="2">
        <v>360</v>
      </c>
      <c r="D271" s="2">
        <v>2889696</v>
      </c>
      <c r="E271" s="2" t="s">
        <v>165</v>
      </c>
      <c r="F271" s="6" t="s">
        <v>124</v>
      </c>
      <c r="G271" s="6" t="s">
        <v>224</v>
      </c>
      <c r="H271" s="2">
        <v>20241811</v>
      </c>
      <c r="I271" s="2" t="s">
        <v>79</v>
      </c>
      <c r="J271" s="2">
        <v>1925</v>
      </c>
      <c r="K271" s="2">
        <v>1.08202</v>
      </c>
      <c r="L271" s="2" t="s">
        <v>65</v>
      </c>
      <c r="M271" s="2" t="s">
        <v>163</v>
      </c>
      <c r="N271" s="2">
        <f t="shared" ca="1" si="12"/>
        <v>20</v>
      </c>
      <c r="O271" s="6">
        <f t="shared" ca="1" si="13"/>
        <v>45456</v>
      </c>
      <c r="P271" s="2">
        <f t="shared" ca="1" si="14"/>
        <v>1</v>
      </c>
    </row>
    <row r="272" spans="1:16" x14ac:dyDescent="0.35">
      <c r="A272" s="2" t="s">
        <v>36</v>
      </c>
      <c r="B272" s="2">
        <v>789265</v>
      </c>
      <c r="C272" s="2">
        <v>360</v>
      </c>
      <c r="D272" s="2">
        <v>2889564</v>
      </c>
      <c r="E272" s="2" t="s">
        <v>229</v>
      </c>
      <c r="F272" s="6" t="s">
        <v>124</v>
      </c>
      <c r="G272" s="6" t="s">
        <v>230</v>
      </c>
      <c r="H272" s="2">
        <v>29823</v>
      </c>
      <c r="I272" s="2" t="s">
        <v>68</v>
      </c>
      <c r="J272" s="2">
        <v>2069.5</v>
      </c>
      <c r="K272" s="2">
        <v>1.0460100000000001</v>
      </c>
      <c r="L272" s="2" t="s">
        <v>65</v>
      </c>
      <c r="M272" s="2" t="s">
        <v>66</v>
      </c>
      <c r="N272" s="2">
        <f t="shared" ca="1" si="12"/>
        <v>14</v>
      </c>
      <c r="O272" s="6">
        <f t="shared" ca="1" si="13"/>
        <v>45456</v>
      </c>
      <c r="P272" s="2">
        <f t="shared" ca="1" si="14"/>
        <v>1</v>
      </c>
    </row>
    <row r="273" spans="1:16" x14ac:dyDescent="0.35">
      <c r="A273" s="2" t="s">
        <v>38</v>
      </c>
      <c r="B273" s="2">
        <v>789249</v>
      </c>
      <c r="C273" s="2">
        <v>360</v>
      </c>
      <c r="D273" s="2">
        <v>2889493</v>
      </c>
      <c r="E273" s="2" t="s">
        <v>625</v>
      </c>
      <c r="F273" s="6" t="s">
        <v>120</v>
      </c>
      <c r="G273" s="6" t="s">
        <v>224</v>
      </c>
      <c r="H273" s="2">
        <v>1047</v>
      </c>
      <c r="I273" s="2" t="s">
        <v>68</v>
      </c>
      <c r="J273" s="2">
        <v>6419.43</v>
      </c>
      <c r="K273" s="2">
        <v>1.0900700000000001</v>
      </c>
      <c r="L273" s="2" t="s">
        <v>65</v>
      </c>
      <c r="M273" s="2" t="s">
        <v>72</v>
      </c>
      <c r="N273" s="2">
        <f t="shared" ca="1" si="12"/>
        <v>20</v>
      </c>
      <c r="O273" s="6">
        <f t="shared" ca="1" si="13"/>
        <v>45456</v>
      </c>
      <c r="P273" s="2">
        <f t="shared" ca="1" si="14"/>
        <v>1</v>
      </c>
    </row>
    <row r="274" spans="1:16" x14ac:dyDescent="0.35">
      <c r="A274" s="2" t="s">
        <v>36</v>
      </c>
      <c r="B274" s="2">
        <v>789186</v>
      </c>
      <c r="C274" s="2">
        <v>360</v>
      </c>
      <c r="D274" s="2">
        <v>2889226</v>
      </c>
      <c r="E274" s="2" t="s">
        <v>226</v>
      </c>
      <c r="F274" s="6" t="s">
        <v>124</v>
      </c>
      <c r="G274" s="6" t="s">
        <v>147</v>
      </c>
      <c r="H274" s="2">
        <v>40766</v>
      </c>
      <c r="I274" s="2" t="s">
        <v>68</v>
      </c>
      <c r="J274" s="2">
        <v>160</v>
      </c>
      <c r="K274" s="2">
        <v>1.07501</v>
      </c>
      <c r="L274" s="2" t="s">
        <v>65</v>
      </c>
      <c r="M274" s="2" t="s">
        <v>158</v>
      </c>
      <c r="N274" s="2">
        <f t="shared" ca="1" si="12"/>
        <v>17</v>
      </c>
      <c r="O274" s="6">
        <f t="shared" ca="1" si="13"/>
        <v>45456</v>
      </c>
      <c r="P274" s="2">
        <f t="shared" ca="1" si="14"/>
        <v>1</v>
      </c>
    </row>
    <row r="275" spans="1:16" x14ac:dyDescent="0.35">
      <c r="A275" s="2" t="s">
        <v>42</v>
      </c>
      <c r="B275" s="2">
        <v>789144</v>
      </c>
      <c r="C275" s="2">
        <v>360</v>
      </c>
      <c r="D275" s="2">
        <v>2889080</v>
      </c>
      <c r="E275" s="2" t="s">
        <v>626</v>
      </c>
      <c r="F275" s="6" t="s">
        <v>124</v>
      </c>
      <c r="G275" s="6" t="s">
        <v>230</v>
      </c>
      <c r="H275" s="2">
        <v>4066</v>
      </c>
      <c r="I275" s="2" t="s">
        <v>68</v>
      </c>
      <c r="J275" s="2">
        <v>3856.06</v>
      </c>
      <c r="K275" s="2">
        <v>1.0840099999999999</v>
      </c>
      <c r="L275" s="2" t="s">
        <v>65</v>
      </c>
      <c r="M275" s="2" t="s">
        <v>467</v>
      </c>
      <c r="N275" s="2">
        <f t="shared" ca="1" si="12"/>
        <v>14</v>
      </c>
      <c r="O275" s="6">
        <f t="shared" ca="1" si="13"/>
        <v>45456</v>
      </c>
      <c r="P275" s="2">
        <f t="shared" ca="1" si="14"/>
        <v>1</v>
      </c>
    </row>
    <row r="276" spans="1:16" x14ac:dyDescent="0.35">
      <c r="A276" s="2" t="s">
        <v>40</v>
      </c>
      <c r="B276" s="2">
        <v>789082</v>
      </c>
      <c r="C276" s="2">
        <v>360</v>
      </c>
      <c r="D276" s="2">
        <v>2888964</v>
      </c>
      <c r="E276" s="2" t="s">
        <v>254</v>
      </c>
      <c r="F276" s="6" t="s">
        <v>124</v>
      </c>
      <c r="G276" s="6" t="s">
        <v>224</v>
      </c>
      <c r="H276" s="2">
        <v>1943</v>
      </c>
      <c r="I276" s="2" t="s">
        <v>68</v>
      </c>
      <c r="J276" s="2">
        <v>112.5</v>
      </c>
      <c r="K276" s="2">
        <v>1.0860099999999999</v>
      </c>
      <c r="L276" s="2" t="s">
        <v>65</v>
      </c>
      <c r="M276" s="2" t="s">
        <v>151</v>
      </c>
      <c r="N276" s="2">
        <f t="shared" ca="1" si="12"/>
        <v>20</v>
      </c>
      <c r="O276" s="6">
        <f t="shared" ca="1" si="13"/>
        <v>45456</v>
      </c>
      <c r="P276" s="2">
        <f t="shared" ca="1" si="14"/>
        <v>1</v>
      </c>
    </row>
    <row r="277" spans="1:16" x14ac:dyDescent="0.35">
      <c r="A277" s="2" t="s">
        <v>38</v>
      </c>
      <c r="B277" s="2">
        <v>789033</v>
      </c>
      <c r="C277" s="2">
        <v>360</v>
      </c>
      <c r="D277" s="2">
        <v>2888691</v>
      </c>
      <c r="E277" s="2" t="s">
        <v>227</v>
      </c>
      <c r="F277" s="6" t="s">
        <v>124</v>
      </c>
      <c r="G277" s="6" t="s">
        <v>147</v>
      </c>
      <c r="H277" s="2">
        <v>887</v>
      </c>
      <c r="I277" s="2" t="s">
        <v>68</v>
      </c>
      <c r="J277" s="2">
        <v>1116.26</v>
      </c>
      <c r="K277" s="2">
        <v>1.07603</v>
      </c>
      <c r="L277" s="2" t="s">
        <v>65</v>
      </c>
      <c r="M277" s="2" t="s">
        <v>77</v>
      </c>
      <c r="N277" s="2">
        <f t="shared" ca="1" si="12"/>
        <v>17</v>
      </c>
      <c r="O277" s="6">
        <f t="shared" ca="1" si="13"/>
        <v>45456</v>
      </c>
      <c r="P277" s="2">
        <f t="shared" ca="1" si="14"/>
        <v>1</v>
      </c>
    </row>
    <row r="278" spans="1:16" x14ac:dyDescent="0.35">
      <c r="A278" s="2" t="s">
        <v>38</v>
      </c>
      <c r="B278" s="2">
        <v>789031</v>
      </c>
      <c r="C278" s="2">
        <v>360</v>
      </c>
      <c r="D278" s="2">
        <v>2888702</v>
      </c>
      <c r="E278" s="2" t="s">
        <v>227</v>
      </c>
      <c r="F278" s="6" t="s">
        <v>124</v>
      </c>
      <c r="G278" s="6" t="s">
        <v>147</v>
      </c>
      <c r="H278" s="2">
        <v>886</v>
      </c>
      <c r="I278" s="2" t="s">
        <v>68</v>
      </c>
      <c r="J278" s="2">
        <v>1225.3900000000001</v>
      </c>
      <c r="K278" s="2">
        <v>1.07602</v>
      </c>
      <c r="L278" s="2" t="s">
        <v>65</v>
      </c>
      <c r="M278" s="2" t="s">
        <v>77</v>
      </c>
      <c r="N278" s="2">
        <f t="shared" ca="1" si="12"/>
        <v>17</v>
      </c>
      <c r="O278" s="6">
        <f t="shared" ca="1" si="13"/>
        <v>45456</v>
      </c>
      <c r="P278" s="2">
        <f t="shared" ca="1" si="14"/>
        <v>1</v>
      </c>
    </row>
    <row r="279" spans="1:16" x14ac:dyDescent="0.35">
      <c r="A279" s="2" t="s">
        <v>36</v>
      </c>
      <c r="B279" s="2">
        <v>789018</v>
      </c>
      <c r="C279" s="2">
        <v>360</v>
      </c>
      <c r="D279" s="2">
        <v>2888683</v>
      </c>
      <c r="E279" s="2" t="s">
        <v>228</v>
      </c>
      <c r="F279" s="6" t="s">
        <v>124</v>
      </c>
      <c r="G279" s="6" t="s">
        <v>147</v>
      </c>
      <c r="H279" s="2">
        <v>20241315</v>
      </c>
      <c r="I279" s="2" t="s">
        <v>68</v>
      </c>
      <c r="J279" s="2">
        <v>456.4</v>
      </c>
      <c r="K279" s="2">
        <v>1.0940099999999999</v>
      </c>
      <c r="L279" s="2" t="s">
        <v>65</v>
      </c>
      <c r="M279" s="2" t="s">
        <v>125</v>
      </c>
      <c r="N279" s="2">
        <f t="shared" ca="1" si="12"/>
        <v>17</v>
      </c>
      <c r="O279" s="6">
        <f t="shared" ca="1" si="13"/>
        <v>45456</v>
      </c>
      <c r="P279" s="2">
        <f t="shared" ca="1" si="14"/>
        <v>1</v>
      </c>
    </row>
    <row r="280" spans="1:16" x14ac:dyDescent="0.35">
      <c r="A280" s="2" t="s">
        <v>36</v>
      </c>
      <c r="B280" s="2">
        <v>789001</v>
      </c>
      <c r="C280" s="2">
        <v>360</v>
      </c>
      <c r="D280" s="2">
        <v>2888425</v>
      </c>
      <c r="E280" s="2" t="s">
        <v>229</v>
      </c>
      <c r="F280" s="6" t="s">
        <v>124</v>
      </c>
      <c r="G280" s="6" t="s">
        <v>230</v>
      </c>
      <c r="H280" s="2">
        <v>29799</v>
      </c>
      <c r="I280" s="2" t="s">
        <v>68</v>
      </c>
      <c r="J280" s="2">
        <v>1129</v>
      </c>
      <c r="K280" s="2">
        <v>1.02301</v>
      </c>
      <c r="L280" s="2" t="s">
        <v>65</v>
      </c>
      <c r="M280" s="2" t="s">
        <v>170</v>
      </c>
      <c r="N280" s="2">
        <f t="shared" ca="1" si="12"/>
        <v>14</v>
      </c>
      <c r="O280" s="6">
        <f t="shared" ca="1" si="13"/>
        <v>45456</v>
      </c>
      <c r="P280" s="2">
        <f t="shared" ca="1" si="14"/>
        <v>1</v>
      </c>
    </row>
    <row r="281" spans="1:16" x14ac:dyDescent="0.35">
      <c r="A281" s="2" t="s">
        <v>36</v>
      </c>
      <c r="B281" s="2">
        <v>788998</v>
      </c>
      <c r="C281" s="2">
        <v>360</v>
      </c>
      <c r="D281" s="2">
        <v>2888292</v>
      </c>
      <c r="E281" s="2" t="s">
        <v>229</v>
      </c>
      <c r="F281" s="6" t="s">
        <v>124</v>
      </c>
      <c r="G281" s="6" t="s">
        <v>230</v>
      </c>
      <c r="H281" s="2">
        <v>29798</v>
      </c>
      <c r="I281" s="2" t="s">
        <v>68</v>
      </c>
      <c r="J281" s="2">
        <v>950</v>
      </c>
      <c r="K281" s="2">
        <v>1.05501</v>
      </c>
      <c r="L281" s="2" t="s">
        <v>65</v>
      </c>
      <c r="M281" s="2" t="s">
        <v>561</v>
      </c>
      <c r="N281" s="2">
        <f t="shared" ca="1" si="12"/>
        <v>14</v>
      </c>
      <c r="O281" s="6">
        <f t="shared" ca="1" si="13"/>
        <v>45456</v>
      </c>
      <c r="P281" s="2">
        <f t="shared" ca="1" si="14"/>
        <v>1</v>
      </c>
    </row>
    <row r="282" spans="1:16" x14ac:dyDescent="0.35">
      <c r="A282" s="2" t="s">
        <v>36</v>
      </c>
      <c r="B282" s="2">
        <v>788997</v>
      </c>
      <c r="C282" s="2">
        <v>360</v>
      </c>
      <c r="D282" s="2">
        <v>2888426</v>
      </c>
      <c r="E282" s="2" t="s">
        <v>229</v>
      </c>
      <c r="F282" s="6" t="s">
        <v>124</v>
      </c>
      <c r="G282" s="6" t="s">
        <v>230</v>
      </c>
      <c r="H282" s="2">
        <v>29796</v>
      </c>
      <c r="I282" s="2" t="s">
        <v>79</v>
      </c>
      <c r="J282" s="2">
        <v>1428.21</v>
      </c>
      <c r="K282" s="2">
        <v>1.01501</v>
      </c>
      <c r="L282" s="2" t="s">
        <v>65</v>
      </c>
      <c r="M282" s="2" t="s">
        <v>475</v>
      </c>
      <c r="N282" s="2">
        <f t="shared" ca="1" si="12"/>
        <v>14</v>
      </c>
      <c r="O282" s="6">
        <f t="shared" ca="1" si="13"/>
        <v>45456</v>
      </c>
      <c r="P282" s="2">
        <f t="shared" ca="1" si="14"/>
        <v>1</v>
      </c>
    </row>
    <row r="283" spans="1:16" x14ac:dyDescent="0.35">
      <c r="A283" s="2" t="s">
        <v>42</v>
      </c>
      <c r="B283" s="2">
        <v>788954</v>
      </c>
      <c r="C283" s="2">
        <v>360</v>
      </c>
      <c r="D283" s="2">
        <v>2891689</v>
      </c>
      <c r="E283" s="2" t="s">
        <v>627</v>
      </c>
      <c r="F283" s="6" t="s">
        <v>124</v>
      </c>
      <c r="G283" s="6" t="s">
        <v>147</v>
      </c>
      <c r="H283" s="2">
        <v>202416</v>
      </c>
      <c r="I283" s="2" t="s">
        <v>68</v>
      </c>
      <c r="J283" s="2">
        <v>7705</v>
      </c>
      <c r="K283" s="2">
        <v>1.04301</v>
      </c>
      <c r="L283" s="2" t="s">
        <v>65</v>
      </c>
      <c r="M283" s="2" t="s">
        <v>196</v>
      </c>
      <c r="N283" s="2">
        <f t="shared" ca="1" si="12"/>
        <v>17</v>
      </c>
      <c r="O283" s="6">
        <f t="shared" ca="1" si="13"/>
        <v>45456</v>
      </c>
      <c r="P283" s="2">
        <f t="shared" ca="1" si="14"/>
        <v>1</v>
      </c>
    </row>
    <row r="284" spans="1:16" x14ac:dyDescent="0.35">
      <c r="A284" s="2" t="s">
        <v>38</v>
      </c>
      <c r="B284" s="2">
        <v>788941</v>
      </c>
      <c r="C284" s="2">
        <v>360</v>
      </c>
      <c r="D284" s="2">
        <v>2887680</v>
      </c>
      <c r="E284" s="2" t="s">
        <v>625</v>
      </c>
      <c r="F284" s="6" t="s">
        <v>120</v>
      </c>
      <c r="G284" s="6" t="s">
        <v>224</v>
      </c>
      <c r="H284" s="2">
        <v>1049</v>
      </c>
      <c r="I284" s="2" t="s">
        <v>68</v>
      </c>
      <c r="J284" s="2">
        <v>6419.43</v>
      </c>
      <c r="K284" s="2">
        <v>1.0900300000000001</v>
      </c>
      <c r="L284" s="2" t="s">
        <v>65</v>
      </c>
      <c r="M284" s="2" t="s">
        <v>72</v>
      </c>
      <c r="N284" s="2">
        <f t="shared" ca="1" si="12"/>
        <v>20</v>
      </c>
      <c r="O284" s="6">
        <f t="shared" ca="1" si="13"/>
        <v>45456</v>
      </c>
      <c r="P284" s="2">
        <f t="shared" ca="1" si="14"/>
        <v>1</v>
      </c>
    </row>
    <row r="285" spans="1:16" x14ac:dyDescent="0.35">
      <c r="A285" s="2" t="s">
        <v>38</v>
      </c>
      <c r="B285" s="2">
        <v>788915</v>
      </c>
      <c r="C285" s="2">
        <v>360</v>
      </c>
      <c r="D285" s="2">
        <v>2887452</v>
      </c>
      <c r="E285" s="2" t="s">
        <v>118</v>
      </c>
      <c r="F285" s="6" t="s">
        <v>140</v>
      </c>
      <c r="G285" s="6" t="s">
        <v>206</v>
      </c>
      <c r="H285" s="2">
        <v>415453</v>
      </c>
      <c r="I285" s="2" t="s">
        <v>68</v>
      </c>
      <c r="J285" s="2">
        <v>951.99</v>
      </c>
      <c r="K285" s="2">
        <v>1.02901</v>
      </c>
      <c r="L285" s="2" t="s">
        <v>76</v>
      </c>
      <c r="M285" s="2" t="s">
        <v>119</v>
      </c>
      <c r="N285" s="2">
        <f t="shared" ca="1" si="12"/>
        <v>17</v>
      </c>
      <c r="O285" s="6">
        <f t="shared" ca="1" si="13"/>
        <v>45456</v>
      </c>
      <c r="P285" s="2">
        <f t="shared" ca="1" si="14"/>
        <v>1</v>
      </c>
    </row>
    <row r="286" spans="1:16" x14ac:dyDescent="0.35">
      <c r="A286" s="2" t="s">
        <v>40</v>
      </c>
      <c r="B286" s="2">
        <v>788913</v>
      </c>
      <c r="C286" s="2">
        <v>360</v>
      </c>
      <c r="D286" s="2">
        <v>2887429</v>
      </c>
      <c r="E286" s="2" t="s">
        <v>628</v>
      </c>
      <c r="F286" s="6" t="s">
        <v>140</v>
      </c>
      <c r="G286" s="6" t="s">
        <v>147</v>
      </c>
      <c r="H286" s="2">
        <v>32704</v>
      </c>
      <c r="I286" s="2" t="s">
        <v>68</v>
      </c>
      <c r="J286" s="2">
        <v>1066.49</v>
      </c>
      <c r="K286" s="2">
        <v>1.03901</v>
      </c>
      <c r="L286" s="2" t="s">
        <v>65</v>
      </c>
      <c r="M286" s="2" t="s">
        <v>186</v>
      </c>
      <c r="N286" s="2">
        <f t="shared" ca="1" si="12"/>
        <v>17</v>
      </c>
      <c r="O286" s="6">
        <f t="shared" ca="1" si="13"/>
        <v>45456</v>
      </c>
      <c r="P286" s="2">
        <f t="shared" ca="1" si="14"/>
        <v>1</v>
      </c>
    </row>
    <row r="287" spans="1:16" x14ac:dyDescent="0.35">
      <c r="A287" s="2" t="s">
        <v>38</v>
      </c>
      <c r="B287" s="2">
        <v>788867</v>
      </c>
      <c r="C287" s="2">
        <v>360</v>
      </c>
      <c r="D287" s="2">
        <v>2886924</v>
      </c>
      <c r="E287" s="2" t="s">
        <v>118</v>
      </c>
      <c r="F287" s="6" t="s">
        <v>120</v>
      </c>
      <c r="G287" s="6" t="s">
        <v>244</v>
      </c>
      <c r="H287" s="2">
        <v>415367</v>
      </c>
      <c r="I287" s="2" t="s">
        <v>68</v>
      </c>
      <c r="J287" s="2">
        <v>757.68</v>
      </c>
      <c r="K287" s="2">
        <v>1.02901</v>
      </c>
      <c r="L287" s="2" t="s">
        <v>76</v>
      </c>
      <c r="M287" s="2" t="s">
        <v>119</v>
      </c>
      <c r="N287" s="2">
        <f t="shared" ca="1" si="12"/>
        <v>17</v>
      </c>
      <c r="O287" s="6">
        <f t="shared" ca="1" si="13"/>
        <v>45456</v>
      </c>
      <c r="P287" s="2">
        <f t="shared" ca="1" si="14"/>
        <v>1</v>
      </c>
    </row>
    <row r="288" spans="1:16" x14ac:dyDescent="0.35">
      <c r="A288" s="2" t="s">
        <v>38</v>
      </c>
      <c r="B288" s="2">
        <v>788665</v>
      </c>
      <c r="C288" s="2">
        <v>360</v>
      </c>
      <c r="D288" s="2">
        <v>2886678</v>
      </c>
      <c r="E288" s="2" t="s">
        <v>434</v>
      </c>
      <c r="F288" s="6" t="s">
        <v>78</v>
      </c>
      <c r="G288" s="6" t="s">
        <v>147</v>
      </c>
      <c r="H288" s="2">
        <v>8197</v>
      </c>
      <c r="I288" s="2" t="s">
        <v>79</v>
      </c>
      <c r="J288" s="2">
        <v>1285.32</v>
      </c>
      <c r="K288" s="2">
        <v>1.0010699999999999</v>
      </c>
      <c r="L288" s="2" t="s">
        <v>76</v>
      </c>
      <c r="M288" s="2" t="s">
        <v>155</v>
      </c>
      <c r="N288" s="2">
        <f t="shared" ca="1" si="12"/>
        <v>17</v>
      </c>
      <c r="O288" s="6">
        <f t="shared" ca="1" si="13"/>
        <v>45456</v>
      </c>
      <c r="P288" s="2">
        <f t="shared" ca="1" si="14"/>
        <v>1</v>
      </c>
    </row>
    <row r="289" spans="1:16" x14ac:dyDescent="0.35">
      <c r="A289" s="2" t="s">
        <v>36</v>
      </c>
      <c r="B289" s="2">
        <v>788484</v>
      </c>
      <c r="C289" s="2">
        <v>360</v>
      </c>
      <c r="D289" s="2">
        <v>2886794</v>
      </c>
      <c r="E289" s="2" t="s">
        <v>438</v>
      </c>
      <c r="F289" s="6" t="s">
        <v>78</v>
      </c>
      <c r="G289" s="6" t="s">
        <v>206</v>
      </c>
      <c r="H289" s="2">
        <v>32236</v>
      </c>
      <c r="I289" s="2" t="s">
        <v>79</v>
      </c>
      <c r="J289" s="2">
        <v>555.14</v>
      </c>
      <c r="K289" s="2">
        <v>1.1000099999999999</v>
      </c>
      <c r="L289" s="2" t="s">
        <v>76</v>
      </c>
      <c r="M289" s="2" t="s">
        <v>217</v>
      </c>
      <c r="N289" s="2">
        <f t="shared" ca="1" si="12"/>
        <v>17</v>
      </c>
      <c r="O289" s="6">
        <f t="shared" ca="1" si="13"/>
        <v>45456</v>
      </c>
      <c r="P289" s="2">
        <f t="shared" ca="1" si="14"/>
        <v>1</v>
      </c>
    </row>
    <row r="290" spans="1:16" x14ac:dyDescent="0.35">
      <c r="A290" s="2" t="s">
        <v>42</v>
      </c>
      <c r="B290" s="2">
        <v>788482</v>
      </c>
      <c r="C290" s="2">
        <v>360</v>
      </c>
      <c r="D290" s="2">
        <v>2886654</v>
      </c>
      <c r="E290" s="2" t="s">
        <v>439</v>
      </c>
      <c r="F290" s="6" t="s">
        <v>78</v>
      </c>
      <c r="G290" s="6" t="s">
        <v>147</v>
      </c>
      <c r="H290" s="2">
        <v>108216</v>
      </c>
      <c r="I290" s="2" t="s">
        <v>79</v>
      </c>
      <c r="J290" s="2">
        <v>130</v>
      </c>
      <c r="K290" s="2">
        <v>1.1000099999999999</v>
      </c>
      <c r="L290" s="2" t="s">
        <v>76</v>
      </c>
      <c r="M290" s="2" t="s">
        <v>217</v>
      </c>
      <c r="N290" s="2">
        <f t="shared" ca="1" si="12"/>
        <v>17</v>
      </c>
      <c r="O290" s="6">
        <f t="shared" ca="1" si="13"/>
        <v>45456</v>
      </c>
      <c r="P290" s="2">
        <f t="shared" ca="1" si="14"/>
        <v>1</v>
      </c>
    </row>
    <row r="291" spans="1:16" x14ac:dyDescent="0.35">
      <c r="A291" s="2" t="s">
        <v>40</v>
      </c>
      <c r="B291" s="2">
        <v>788475</v>
      </c>
      <c r="C291" s="2">
        <v>360</v>
      </c>
      <c r="D291" s="2">
        <v>2886642</v>
      </c>
      <c r="E291" s="2" t="s">
        <v>629</v>
      </c>
      <c r="F291" s="6" t="s">
        <v>78</v>
      </c>
      <c r="G291" s="6" t="s">
        <v>224</v>
      </c>
      <c r="H291" s="2">
        <v>1659</v>
      </c>
      <c r="I291" s="2" t="s">
        <v>79</v>
      </c>
      <c r="J291" s="2">
        <v>1680.71</v>
      </c>
      <c r="K291" s="2">
        <v>1.09701</v>
      </c>
      <c r="L291" s="2" t="s">
        <v>76</v>
      </c>
      <c r="M291" s="2" t="s">
        <v>417</v>
      </c>
      <c r="N291" s="2">
        <f t="shared" ca="1" si="12"/>
        <v>20</v>
      </c>
      <c r="O291" s="6">
        <f t="shared" ca="1" si="13"/>
        <v>45456</v>
      </c>
      <c r="P291" s="2">
        <f t="shared" ca="1" si="14"/>
        <v>1</v>
      </c>
    </row>
    <row r="292" spans="1:16" x14ac:dyDescent="0.35">
      <c r="A292" s="2" t="s">
        <v>38</v>
      </c>
      <c r="B292" s="2">
        <v>788474</v>
      </c>
      <c r="C292" s="2">
        <v>360</v>
      </c>
      <c r="D292" s="2">
        <v>2886667</v>
      </c>
      <c r="E292" s="2" t="s">
        <v>232</v>
      </c>
      <c r="F292" s="6" t="s">
        <v>78</v>
      </c>
      <c r="G292" s="6" t="s">
        <v>147</v>
      </c>
      <c r="H292" s="2">
        <v>653796</v>
      </c>
      <c r="I292" s="2" t="s">
        <v>79</v>
      </c>
      <c r="J292" s="2">
        <v>370.12</v>
      </c>
      <c r="K292" s="2">
        <v>1.09701</v>
      </c>
      <c r="L292" s="2" t="s">
        <v>76</v>
      </c>
      <c r="M292" s="2" t="s">
        <v>417</v>
      </c>
      <c r="N292" s="2">
        <f t="shared" ca="1" si="12"/>
        <v>17</v>
      </c>
      <c r="O292" s="6">
        <f t="shared" ca="1" si="13"/>
        <v>45456</v>
      </c>
      <c r="P292" s="2">
        <f t="shared" ca="1" si="14"/>
        <v>1</v>
      </c>
    </row>
    <row r="293" spans="1:16" x14ac:dyDescent="0.35">
      <c r="A293" s="2" t="s">
        <v>36</v>
      </c>
      <c r="B293" s="2">
        <v>788333</v>
      </c>
      <c r="C293" s="2">
        <v>360</v>
      </c>
      <c r="D293" s="2">
        <v>2886628</v>
      </c>
      <c r="E293" s="2" t="s">
        <v>630</v>
      </c>
      <c r="F293" s="6" t="s">
        <v>78</v>
      </c>
      <c r="G293" s="6" t="s">
        <v>147</v>
      </c>
      <c r="H293" s="2">
        <v>93408</v>
      </c>
      <c r="I293" s="2" t="s">
        <v>79</v>
      </c>
      <c r="J293" s="2">
        <v>1264</v>
      </c>
      <c r="K293" s="2">
        <v>1.0860099999999999</v>
      </c>
      <c r="L293" s="2" t="s">
        <v>76</v>
      </c>
      <c r="M293" s="2" t="s">
        <v>151</v>
      </c>
      <c r="N293" s="2">
        <f t="shared" ca="1" si="12"/>
        <v>17</v>
      </c>
      <c r="O293" s="6">
        <f t="shared" ca="1" si="13"/>
        <v>45456</v>
      </c>
      <c r="P293" s="2">
        <f t="shared" ca="1" si="14"/>
        <v>1</v>
      </c>
    </row>
    <row r="294" spans="1:16" x14ac:dyDescent="0.35">
      <c r="A294" s="2" t="s">
        <v>36</v>
      </c>
      <c r="B294" s="2">
        <v>788329</v>
      </c>
      <c r="C294" s="2">
        <v>360</v>
      </c>
      <c r="D294" s="2">
        <v>2886666</v>
      </c>
      <c r="E294" s="2" t="s">
        <v>630</v>
      </c>
      <c r="F294" s="6" t="s">
        <v>78</v>
      </c>
      <c r="G294" s="6" t="s">
        <v>147</v>
      </c>
      <c r="H294" s="2">
        <v>93409</v>
      </c>
      <c r="I294" s="2" t="s">
        <v>79</v>
      </c>
      <c r="J294" s="2">
        <v>3771</v>
      </c>
      <c r="K294" s="2">
        <v>1.0860099999999999</v>
      </c>
      <c r="L294" s="2" t="s">
        <v>76</v>
      </c>
      <c r="M294" s="2" t="s">
        <v>151</v>
      </c>
      <c r="N294" s="2">
        <f t="shared" ca="1" si="12"/>
        <v>17</v>
      </c>
      <c r="O294" s="6">
        <f t="shared" ca="1" si="13"/>
        <v>45456</v>
      </c>
      <c r="P294" s="2">
        <f t="shared" ca="1" si="14"/>
        <v>1</v>
      </c>
    </row>
    <row r="295" spans="1:16" x14ac:dyDescent="0.35">
      <c r="A295" s="2" t="s">
        <v>42</v>
      </c>
      <c r="B295" s="2">
        <v>788203</v>
      </c>
      <c r="C295" s="2">
        <v>360</v>
      </c>
      <c r="D295" s="2">
        <v>2886664</v>
      </c>
      <c r="E295" s="2" t="s">
        <v>235</v>
      </c>
      <c r="F295" s="6" t="s">
        <v>78</v>
      </c>
      <c r="G295" s="6" t="s">
        <v>236</v>
      </c>
      <c r="H295" s="2">
        <v>445344</v>
      </c>
      <c r="I295" s="2" t="s">
        <v>79</v>
      </c>
      <c r="J295" s="2">
        <v>2484.14</v>
      </c>
      <c r="K295" s="2">
        <v>1.0480100000000001</v>
      </c>
      <c r="L295" s="2" t="s">
        <v>76</v>
      </c>
      <c r="M295" s="2" t="s">
        <v>75</v>
      </c>
      <c r="N295" s="2">
        <f t="shared" ca="1" si="12"/>
        <v>28</v>
      </c>
      <c r="O295" s="6">
        <f t="shared" ca="1" si="13"/>
        <v>45456</v>
      </c>
      <c r="P295" s="2">
        <f t="shared" ca="1" si="14"/>
        <v>1</v>
      </c>
    </row>
    <row r="296" spans="1:16" x14ac:dyDescent="0.35">
      <c r="A296" s="2" t="s">
        <v>40</v>
      </c>
      <c r="B296" s="2">
        <v>787955</v>
      </c>
      <c r="C296" s="2">
        <v>360</v>
      </c>
      <c r="D296" s="2">
        <v>2886618</v>
      </c>
      <c r="E296" s="2" t="s">
        <v>238</v>
      </c>
      <c r="F296" s="6" t="s">
        <v>78</v>
      </c>
      <c r="G296" s="6" t="s">
        <v>206</v>
      </c>
      <c r="H296" s="2">
        <v>1802</v>
      </c>
      <c r="I296" s="2" t="s">
        <v>79</v>
      </c>
      <c r="J296" s="2">
        <v>3638</v>
      </c>
      <c r="K296" s="2">
        <v>1.0460100000000001</v>
      </c>
      <c r="L296" s="2" t="s">
        <v>76</v>
      </c>
      <c r="M296" s="2" t="s">
        <v>66</v>
      </c>
      <c r="N296" s="2">
        <f t="shared" ca="1" si="12"/>
        <v>17</v>
      </c>
      <c r="O296" s="6">
        <f t="shared" ca="1" si="13"/>
        <v>45456</v>
      </c>
      <c r="P296" s="2">
        <f t="shared" ca="1" si="14"/>
        <v>1</v>
      </c>
    </row>
    <row r="297" spans="1:16" x14ac:dyDescent="0.35">
      <c r="A297" s="2" t="s">
        <v>38</v>
      </c>
      <c r="B297" s="2">
        <v>787928</v>
      </c>
      <c r="C297" s="2">
        <v>360</v>
      </c>
      <c r="D297" s="2">
        <v>2886592</v>
      </c>
      <c r="E297" s="2" t="s">
        <v>245</v>
      </c>
      <c r="F297" s="6" t="s">
        <v>78</v>
      </c>
      <c r="G297" s="6" t="s">
        <v>237</v>
      </c>
      <c r="H297" s="2">
        <v>6937208</v>
      </c>
      <c r="I297" s="2" t="s">
        <v>79</v>
      </c>
      <c r="J297" s="2">
        <v>2007.74</v>
      </c>
      <c r="K297" s="2">
        <v>1.03901</v>
      </c>
      <c r="L297" s="2" t="s">
        <v>76</v>
      </c>
      <c r="M297" s="2" t="s">
        <v>186</v>
      </c>
      <c r="N297" s="2">
        <f t="shared" ca="1" si="12"/>
        <v>16</v>
      </c>
      <c r="O297" s="6">
        <f t="shared" ca="1" si="13"/>
        <v>45456</v>
      </c>
      <c r="P297" s="2">
        <f t="shared" ca="1" si="14"/>
        <v>1</v>
      </c>
    </row>
    <row r="298" spans="1:16" x14ac:dyDescent="0.35">
      <c r="A298" s="2" t="s">
        <v>38</v>
      </c>
      <c r="B298" s="2">
        <v>787906</v>
      </c>
      <c r="C298" s="2">
        <v>360</v>
      </c>
      <c r="D298" s="2">
        <v>2886688</v>
      </c>
      <c r="E298" s="2" t="s">
        <v>118</v>
      </c>
      <c r="F298" s="6" t="s">
        <v>78</v>
      </c>
      <c r="G298" s="6" t="s">
        <v>147</v>
      </c>
      <c r="H298" s="2">
        <v>415298</v>
      </c>
      <c r="I298" s="2" t="s">
        <v>68</v>
      </c>
      <c r="J298" s="2">
        <v>1678.99</v>
      </c>
      <c r="K298" s="2">
        <v>1.02901</v>
      </c>
      <c r="L298" s="2" t="s">
        <v>76</v>
      </c>
      <c r="M298" s="2" t="s">
        <v>119</v>
      </c>
      <c r="N298" s="2">
        <f t="shared" ca="1" si="12"/>
        <v>17</v>
      </c>
      <c r="O298" s="6">
        <f t="shared" ca="1" si="13"/>
        <v>45456</v>
      </c>
      <c r="P298" s="2">
        <f t="shared" ca="1" si="14"/>
        <v>1</v>
      </c>
    </row>
    <row r="299" spans="1:16" x14ac:dyDescent="0.35">
      <c r="A299" s="2" t="s">
        <v>36</v>
      </c>
      <c r="B299" s="2">
        <v>787891</v>
      </c>
      <c r="C299" s="2">
        <v>360</v>
      </c>
      <c r="D299" s="2">
        <v>2886701</v>
      </c>
      <c r="E299" s="2" t="s">
        <v>239</v>
      </c>
      <c r="F299" s="6" t="s">
        <v>78</v>
      </c>
      <c r="G299" s="6" t="s">
        <v>147</v>
      </c>
      <c r="H299" s="2">
        <v>31204</v>
      </c>
      <c r="I299" s="2" t="s">
        <v>79</v>
      </c>
      <c r="J299" s="2">
        <v>352.6</v>
      </c>
      <c r="K299" s="2">
        <v>1.02701</v>
      </c>
      <c r="L299" s="2" t="s">
        <v>76</v>
      </c>
      <c r="M299" s="2" t="s">
        <v>179</v>
      </c>
      <c r="N299" s="2">
        <f t="shared" ca="1" si="12"/>
        <v>17</v>
      </c>
      <c r="O299" s="6">
        <f t="shared" ca="1" si="13"/>
        <v>45456</v>
      </c>
      <c r="P299" s="2">
        <f t="shared" ca="1" si="14"/>
        <v>1</v>
      </c>
    </row>
    <row r="300" spans="1:16" x14ac:dyDescent="0.35">
      <c r="A300" s="2" t="s">
        <v>42</v>
      </c>
      <c r="B300" s="2">
        <v>787882</v>
      </c>
      <c r="C300" s="2">
        <v>360</v>
      </c>
      <c r="D300" s="2">
        <v>2886582</v>
      </c>
      <c r="E300" s="2" t="s">
        <v>240</v>
      </c>
      <c r="F300" s="6" t="s">
        <v>78</v>
      </c>
      <c r="G300" s="6" t="s">
        <v>206</v>
      </c>
      <c r="H300" s="2">
        <v>228253</v>
      </c>
      <c r="I300" s="2" t="s">
        <v>79</v>
      </c>
      <c r="J300" s="2">
        <v>244.02</v>
      </c>
      <c r="K300" s="2">
        <v>1.02301</v>
      </c>
      <c r="L300" s="2" t="s">
        <v>76</v>
      </c>
      <c r="M300" s="2" t="s">
        <v>170</v>
      </c>
      <c r="N300" s="2">
        <f t="shared" ca="1" si="12"/>
        <v>17</v>
      </c>
      <c r="O300" s="6">
        <f t="shared" ca="1" si="13"/>
        <v>45456</v>
      </c>
      <c r="P300" s="2">
        <f t="shared" ca="1" si="14"/>
        <v>1</v>
      </c>
    </row>
    <row r="301" spans="1:16" x14ac:dyDescent="0.35">
      <c r="A301" s="2" t="s">
        <v>40</v>
      </c>
      <c r="B301" s="2">
        <v>787833</v>
      </c>
      <c r="C301" s="2">
        <v>360</v>
      </c>
      <c r="D301" s="2">
        <v>2886587</v>
      </c>
      <c r="E301" s="2" t="s">
        <v>631</v>
      </c>
      <c r="F301" s="6" t="s">
        <v>78</v>
      </c>
      <c r="G301" s="6" t="s">
        <v>206</v>
      </c>
      <c r="H301" s="2">
        <v>649934</v>
      </c>
      <c r="I301" s="2" t="s">
        <v>79</v>
      </c>
      <c r="J301" s="2">
        <v>3445.05</v>
      </c>
      <c r="K301" s="2">
        <v>1.01501</v>
      </c>
      <c r="L301" s="2" t="s">
        <v>76</v>
      </c>
      <c r="M301" s="2" t="s">
        <v>475</v>
      </c>
      <c r="N301" s="2">
        <f t="shared" ca="1" si="12"/>
        <v>17</v>
      </c>
      <c r="O301" s="6">
        <f t="shared" ca="1" si="13"/>
        <v>45456</v>
      </c>
      <c r="P301" s="2">
        <f t="shared" ca="1" si="14"/>
        <v>1</v>
      </c>
    </row>
    <row r="302" spans="1:16" x14ac:dyDescent="0.35">
      <c r="A302" s="2" t="s">
        <v>38</v>
      </c>
      <c r="B302" s="2">
        <v>787556</v>
      </c>
      <c r="C302" s="2">
        <v>360</v>
      </c>
      <c r="D302" s="2">
        <v>2886680</v>
      </c>
      <c r="E302" s="2" t="s">
        <v>632</v>
      </c>
      <c r="F302" s="6" t="s">
        <v>78</v>
      </c>
      <c r="G302" s="6" t="s">
        <v>249</v>
      </c>
      <c r="H302" s="2">
        <v>5433</v>
      </c>
      <c r="I302" s="2" t="s">
        <v>79</v>
      </c>
      <c r="J302" s="2">
        <v>4122</v>
      </c>
      <c r="K302" s="2">
        <v>1.00105</v>
      </c>
      <c r="L302" s="2" t="s">
        <v>76</v>
      </c>
      <c r="M302" s="2" t="s">
        <v>86</v>
      </c>
      <c r="N302" s="2">
        <f t="shared" ca="1" si="12"/>
        <v>27</v>
      </c>
      <c r="O302" s="6">
        <f t="shared" ca="1" si="13"/>
        <v>45456</v>
      </c>
      <c r="P302" s="2">
        <f t="shared" ca="1" si="14"/>
        <v>1</v>
      </c>
    </row>
    <row r="303" spans="1:16" x14ac:dyDescent="0.35">
      <c r="A303" s="2" t="s">
        <v>36</v>
      </c>
      <c r="B303" s="2">
        <v>787554</v>
      </c>
      <c r="C303" s="2">
        <v>360</v>
      </c>
      <c r="D303" s="2">
        <v>2886573</v>
      </c>
      <c r="E303" s="2" t="s">
        <v>633</v>
      </c>
      <c r="F303" s="6" t="s">
        <v>78</v>
      </c>
      <c r="G303" s="6" t="s">
        <v>206</v>
      </c>
      <c r="H303" s="2">
        <v>65109</v>
      </c>
      <c r="I303" s="2" t="s">
        <v>68</v>
      </c>
      <c r="J303" s="2">
        <v>1092</v>
      </c>
      <c r="K303" s="2">
        <v>1.00105</v>
      </c>
      <c r="L303" s="2" t="s">
        <v>76</v>
      </c>
      <c r="M303" s="2" t="s">
        <v>86</v>
      </c>
      <c r="N303" s="2">
        <f t="shared" ca="1" si="12"/>
        <v>17</v>
      </c>
      <c r="O303" s="6">
        <f t="shared" ca="1" si="13"/>
        <v>45456</v>
      </c>
      <c r="P303" s="2">
        <f t="shared" ca="1" si="14"/>
        <v>1</v>
      </c>
    </row>
    <row r="304" spans="1:16" x14ac:dyDescent="0.35">
      <c r="A304" s="2" t="s">
        <v>38</v>
      </c>
      <c r="B304" s="2">
        <v>787525</v>
      </c>
      <c r="C304" s="2">
        <v>360</v>
      </c>
      <c r="D304" s="2">
        <v>2885809</v>
      </c>
      <c r="E304" s="2" t="s">
        <v>202</v>
      </c>
      <c r="F304" s="6" t="s">
        <v>78</v>
      </c>
      <c r="G304" s="6" t="s">
        <v>241</v>
      </c>
      <c r="H304" s="2">
        <v>101862</v>
      </c>
      <c r="I304" s="2" t="s">
        <v>68</v>
      </c>
      <c r="J304" s="2">
        <v>8261.5499999999993</v>
      </c>
      <c r="K304" s="2">
        <v>1.0480100000000001</v>
      </c>
      <c r="L304" s="2" t="s">
        <v>65</v>
      </c>
      <c r="M304" s="2" t="s">
        <v>75</v>
      </c>
      <c r="N304" s="2">
        <f t="shared" ca="1" si="12"/>
        <v>32</v>
      </c>
      <c r="O304" s="6">
        <f t="shared" ca="1" si="13"/>
        <v>45456</v>
      </c>
      <c r="P304" s="2">
        <f t="shared" ca="1" si="14"/>
        <v>1</v>
      </c>
    </row>
    <row r="305" spans="1:16" x14ac:dyDescent="0.35">
      <c r="A305" s="2" t="s">
        <v>38</v>
      </c>
      <c r="B305" s="2">
        <v>787521</v>
      </c>
      <c r="C305" s="2">
        <v>360</v>
      </c>
      <c r="D305" s="2">
        <v>2885860</v>
      </c>
      <c r="E305" s="2" t="s">
        <v>202</v>
      </c>
      <c r="F305" s="6" t="s">
        <v>78</v>
      </c>
      <c r="G305" s="6" t="s">
        <v>241</v>
      </c>
      <c r="H305" s="2">
        <v>102155</v>
      </c>
      <c r="I305" s="2" t="s">
        <v>68</v>
      </c>
      <c r="J305" s="2">
        <v>1822.27</v>
      </c>
      <c r="K305" s="2">
        <v>1.0480100000000001</v>
      </c>
      <c r="L305" s="2" t="s">
        <v>65</v>
      </c>
      <c r="M305" s="2" t="s">
        <v>75</v>
      </c>
      <c r="N305" s="2">
        <f t="shared" ca="1" si="12"/>
        <v>32</v>
      </c>
      <c r="O305" s="6">
        <f t="shared" ca="1" si="13"/>
        <v>45456</v>
      </c>
      <c r="P305" s="2">
        <f t="shared" ca="1" si="14"/>
        <v>1</v>
      </c>
    </row>
    <row r="306" spans="1:16" x14ac:dyDescent="0.35">
      <c r="A306" s="2" t="s">
        <v>42</v>
      </c>
      <c r="B306" s="2">
        <v>787425</v>
      </c>
      <c r="C306" s="2">
        <v>360</v>
      </c>
      <c r="D306" s="2">
        <v>2885198</v>
      </c>
      <c r="E306" s="2" t="s">
        <v>242</v>
      </c>
      <c r="F306" s="6" t="s">
        <v>78</v>
      </c>
      <c r="G306" s="6" t="s">
        <v>206</v>
      </c>
      <c r="H306" s="2">
        <v>657</v>
      </c>
      <c r="I306" s="2" t="s">
        <v>79</v>
      </c>
      <c r="J306" s="2">
        <v>2687</v>
      </c>
      <c r="K306" s="2">
        <v>1.07101</v>
      </c>
      <c r="L306" s="2" t="s">
        <v>65</v>
      </c>
      <c r="M306" s="2" t="s">
        <v>112</v>
      </c>
      <c r="N306" s="2">
        <f t="shared" ca="1" si="12"/>
        <v>17</v>
      </c>
      <c r="O306" s="6">
        <f t="shared" ca="1" si="13"/>
        <v>45456</v>
      </c>
      <c r="P306" s="2">
        <f t="shared" ca="1" si="14"/>
        <v>1</v>
      </c>
    </row>
    <row r="307" spans="1:16" x14ac:dyDescent="0.35">
      <c r="A307" s="2" t="s">
        <v>40</v>
      </c>
      <c r="B307" s="2">
        <v>787402</v>
      </c>
      <c r="C307" s="2">
        <v>360</v>
      </c>
      <c r="D307" s="2">
        <v>2884256</v>
      </c>
      <c r="E307" s="2" t="s">
        <v>634</v>
      </c>
      <c r="F307" s="6" t="s">
        <v>116</v>
      </c>
      <c r="G307" s="6" t="s">
        <v>147</v>
      </c>
      <c r="H307" s="2">
        <v>1980</v>
      </c>
      <c r="I307" s="2" t="s">
        <v>79</v>
      </c>
      <c r="J307" s="2">
        <v>8085</v>
      </c>
      <c r="K307" s="2">
        <v>1.07101</v>
      </c>
      <c r="L307" s="2" t="s">
        <v>65</v>
      </c>
      <c r="M307" s="2" t="s">
        <v>112</v>
      </c>
      <c r="N307" s="2">
        <f t="shared" ca="1" si="12"/>
        <v>17</v>
      </c>
      <c r="O307" s="6">
        <f t="shared" ca="1" si="13"/>
        <v>45456</v>
      </c>
      <c r="P307" s="2">
        <f t="shared" ca="1" si="14"/>
        <v>1</v>
      </c>
    </row>
    <row r="308" spans="1:16" x14ac:dyDescent="0.35">
      <c r="A308" s="2" t="s">
        <v>38</v>
      </c>
      <c r="B308" s="2">
        <v>787322</v>
      </c>
      <c r="C308" s="2">
        <v>360</v>
      </c>
      <c r="D308" s="2">
        <v>2883669</v>
      </c>
      <c r="E308" s="2" t="s">
        <v>243</v>
      </c>
      <c r="F308" s="6" t="s">
        <v>78</v>
      </c>
      <c r="G308" s="6" t="s">
        <v>244</v>
      </c>
      <c r="H308" s="2">
        <v>2024213</v>
      </c>
      <c r="I308" s="2" t="s">
        <v>68</v>
      </c>
      <c r="J308" s="2">
        <v>12583.33</v>
      </c>
      <c r="K308" s="2">
        <v>1.0010399999999999</v>
      </c>
      <c r="L308" s="2" t="s">
        <v>65</v>
      </c>
      <c r="M308" s="2" t="s">
        <v>86</v>
      </c>
      <c r="N308" s="2">
        <f t="shared" ca="1" si="12"/>
        <v>17</v>
      </c>
      <c r="O308" s="6">
        <f t="shared" ca="1" si="13"/>
        <v>45456</v>
      </c>
      <c r="P308" s="2">
        <f t="shared" ca="1" si="14"/>
        <v>1</v>
      </c>
    </row>
    <row r="309" spans="1:16" x14ac:dyDescent="0.35">
      <c r="A309" s="2" t="s">
        <v>38</v>
      </c>
      <c r="B309" s="2">
        <v>787321</v>
      </c>
      <c r="C309" s="2">
        <v>360</v>
      </c>
      <c r="D309" s="2">
        <v>2883600</v>
      </c>
      <c r="E309" s="2" t="s">
        <v>243</v>
      </c>
      <c r="F309" s="6" t="s">
        <v>78</v>
      </c>
      <c r="G309" s="6" t="s">
        <v>244</v>
      </c>
      <c r="H309" s="2">
        <v>2024212</v>
      </c>
      <c r="I309" s="2" t="s">
        <v>68</v>
      </c>
      <c r="J309" s="2">
        <v>11550</v>
      </c>
      <c r="K309" s="2">
        <v>1.0010399999999999</v>
      </c>
      <c r="L309" s="2" t="s">
        <v>65</v>
      </c>
      <c r="M309" s="2" t="s">
        <v>86</v>
      </c>
      <c r="N309" s="2">
        <f t="shared" ca="1" si="12"/>
        <v>17</v>
      </c>
      <c r="O309" s="6">
        <f t="shared" ca="1" si="13"/>
        <v>45456</v>
      </c>
      <c r="P309" s="2">
        <f t="shared" ca="1" si="14"/>
        <v>1</v>
      </c>
    </row>
    <row r="310" spans="1:16" x14ac:dyDescent="0.35">
      <c r="A310" s="2" t="s">
        <v>36</v>
      </c>
      <c r="B310" s="2">
        <v>787308</v>
      </c>
      <c r="C310" s="2">
        <v>360</v>
      </c>
      <c r="D310" s="2">
        <v>2883349</v>
      </c>
      <c r="E310" s="2" t="s">
        <v>210</v>
      </c>
      <c r="F310" s="6" t="s">
        <v>78</v>
      </c>
      <c r="G310" s="6" t="s">
        <v>147</v>
      </c>
      <c r="H310" s="2">
        <v>2522</v>
      </c>
      <c r="I310" s="2" t="s">
        <v>68</v>
      </c>
      <c r="J310" s="2">
        <v>1133</v>
      </c>
      <c r="K310" s="2">
        <v>1.07101</v>
      </c>
      <c r="L310" s="2" t="s">
        <v>65</v>
      </c>
      <c r="M310" s="2" t="s">
        <v>112</v>
      </c>
      <c r="N310" s="2">
        <f t="shared" ca="1" si="12"/>
        <v>17</v>
      </c>
      <c r="O310" s="6">
        <f t="shared" ca="1" si="13"/>
        <v>45456</v>
      </c>
      <c r="P310" s="2">
        <f t="shared" ca="1" si="14"/>
        <v>1</v>
      </c>
    </row>
    <row r="311" spans="1:16" x14ac:dyDescent="0.35">
      <c r="A311" s="2" t="s">
        <v>42</v>
      </c>
      <c r="B311" s="2">
        <v>787299</v>
      </c>
      <c r="C311" s="2">
        <v>360</v>
      </c>
      <c r="D311" s="2">
        <v>2883207</v>
      </c>
      <c r="E311" s="2" t="s">
        <v>635</v>
      </c>
      <c r="F311" s="6" t="s">
        <v>78</v>
      </c>
      <c r="G311" s="6" t="s">
        <v>147</v>
      </c>
      <c r="H311" s="2">
        <v>2024848</v>
      </c>
      <c r="I311" s="2" t="s">
        <v>68</v>
      </c>
      <c r="J311" s="2">
        <v>9340.19</v>
      </c>
      <c r="K311" s="2">
        <v>1.00101</v>
      </c>
      <c r="L311" s="2" t="s">
        <v>65</v>
      </c>
      <c r="M311" s="2" t="s">
        <v>86</v>
      </c>
      <c r="N311" s="2">
        <f t="shared" ca="1" si="12"/>
        <v>17</v>
      </c>
      <c r="O311" s="6">
        <f t="shared" ca="1" si="13"/>
        <v>45456</v>
      </c>
      <c r="P311" s="2">
        <f t="shared" ca="1" si="14"/>
        <v>1</v>
      </c>
    </row>
    <row r="312" spans="1:16" x14ac:dyDescent="0.35">
      <c r="A312" s="2" t="s">
        <v>42</v>
      </c>
      <c r="B312" s="2">
        <v>787297</v>
      </c>
      <c r="C312" s="2">
        <v>360</v>
      </c>
      <c r="D312" s="2">
        <v>2883157</v>
      </c>
      <c r="E312" s="2" t="s">
        <v>635</v>
      </c>
      <c r="F312" s="6" t="s">
        <v>78</v>
      </c>
      <c r="G312" s="6" t="s">
        <v>147</v>
      </c>
      <c r="H312" s="2">
        <v>2024843</v>
      </c>
      <c r="I312" s="2" t="s">
        <v>68</v>
      </c>
      <c r="J312" s="2">
        <v>11068.24</v>
      </c>
      <c r="K312" s="2">
        <v>1.00101</v>
      </c>
      <c r="L312" s="2" t="s">
        <v>65</v>
      </c>
      <c r="M312" s="2" t="s">
        <v>86</v>
      </c>
      <c r="N312" s="2">
        <f t="shared" ca="1" si="12"/>
        <v>17</v>
      </c>
      <c r="O312" s="6">
        <f t="shared" ca="1" si="13"/>
        <v>45456</v>
      </c>
      <c r="P312" s="2">
        <f t="shared" ca="1" si="14"/>
        <v>1</v>
      </c>
    </row>
    <row r="313" spans="1:16" x14ac:dyDescent="0.35">
      <c r="A313" s="2" t="s">
        <v>42</v>
      </c>
      <c r="B313" s="2">
        <v>787296</v>
      </c>
      <c r="C313" s="2">
        <v>360</v>
      </c>
      <c r="D313" s="2">
        <v>2883148</v>
      </c>
      <c r="E313" s="2" t="s">
        <v>635</v>
      </c>
      <c r="F313" s="6" t="s">
        <v>78</v>
      </c>
      <c r="G313" s="6" t="s">
        <v>147</v>
      </c>
      <c r="H313" s="2">
        <v>2024845</v>
      </c>
      <c r="I313" s="2" t="s">
        <v>68</v>
      </c>
      <c r="J313" s="2">
        <v>9771.58</v>
      </c>
      <c r="K313" s="2">
        <v>1.00101</v>
      </c>
      <c r="L313" s="2" t="s">
        <v>65</v>
      </c>
      <c r="M313" s="2" t="s">
        <v>86</v>
      </c>
      <c r="N313" s="2">
        <f t="shared" ca="1" si="12"/>
        <v>17</v>
      </c>
      <c r="O313" s="6">
        <f t="shared" ca="1" si="13"/>
        <v>45456</v>
      </c>
      <c r="P313" s="2">
        <f t="shared" ca="1" si="14"/>
        <v>1</v>
      </c>
    </row>
    <row r="314" spans="1:16" x14ac:dyDescent="0.35">
      <c r="A314" s="2" t="s">
        <v>42</v>
      </c>
      <c r="B314" s="2">
        <v>787295</v>
      </c>
      <c r="C314" s="2">
        <v>360</v>
      </c>
      <c r="D314" s="2">
        <v>2883167</v>
      </c>
      <c r="E314" s="2" t="s">
        <v>635</v>
      </c>
      <c r="F314" s="6" t="s">
        <v>78</v>
      </c>
      <c r="G314" s="6" t="s">
        <v>147</v>
      </c>
      <c r="H314" s="2">
        <v>2024838</v>
      </c>
      <c r="I314" s="2" t="s">
        <v>68</v>
      </c>
      <c r="J314" s="2">
        <v>66.97</v>
      </c>
      <c r="K314" s="2">
        <v>1.00101</v>
      </c>
      <c r="L314" s="2" t="s">
        <v>65</v>
      </c>
      <c r="M314" s="2" t="s">
        <v>86</v>
      </c>
      <c r="N314" s="2">
        <f t="shared" ca="1" si="12"/>
        <v>17</v>
      </c>
      <c r="O314" s="6">
        <f t="shared" ca="1" si="13"/>
        <v>45456</v>
      </c>
      <c r="P314" s="2">
        <f t="shared" ca="1" si="14"/>
        <v>1</v>
      </c>
    </row>
    <row r="315" spans="1:16" x14ac:dyDescent="0.35">
      <c r="A315" s="2" t="s">
        <v>42</v>
      </c>
      <c r="B315" s="2">
        <v>787294</v>
      </c>
      <c r="C315" s="2">
        <v>360</v>
      </c>
      <c r="D315" s="2">
        <v>2883138</v>
      </c>
      <c r="E315" s="2" t="s">
        <v>635</v>
      </c>
      <c r="F315" s="6" t="s">
        <v>78</v>
      </c>
      <c r="G315" s="6" t="s">
        <v>147</v>
      </c>
      <c r="H315" s="2">
        <v>2024840</v>
      </c>
      <c r="I315" s="2" t="s">
        <v>68</v>
      </c>
      <c r="J315" s="2">
        <v>4948.04</v>
      </c>
      <c r="K315" s="2">
        <v>1.00101</v>
      </c>
      <c r="L315" s="2" t="s">
        <v>65</v>
      </c>
      <c r="M315" s="2" t="s">
        <v>86</v>
      </c>
      <c r="N315" s="2">
        <f t="shared" ca="1" si="12"/>
        <v>17</v>
      </c>
      <c r="O315" s="6">
        <f t="shared" ca="1" si="13"/>
        <v>45456</v>
      </c>
      <c r="P315" s="2">
        <f t="shared" ca="1" si="14"/>
        <v>1</v>
      </c>
    </row>
    <row r="316" spans="1:16" x14ac:dyDescent="0.35">
      <c r="A316" s="2" t="s">
        <v>42</v>
      </c>
      <c r="B316" s="2">
        <v>787293</v>
      </c>
      <c r="C316" s="2">
        <v>360</v>
      </c>
      <c r="D316" s="2">
        <v>2883143</v>
      </c>
      <c r="E316" s="2" t="s">
        <v>635</v>
      </c>
      <c r="F316" s="6" t="s">
        <v>78</v>
      </c>
      <c r="G316" s="6" t="s">
        <v>147</v>
      </c>
      <c r="H316" s="2">
        <v>2024841</v>
      </c>
      <c r="I316" s="2" t="s">
        <v>68</v>
      </c>
      <c r="J316" s="2">
        <v>8958.7099999999991</v>
      </c>
      <c r="K316" s="2">
        <v>1.00101</v>
      </c>
      <c r="L316" s="2" t="s">
        <v>65</v>
      </c>
      <c r="M316" s="2" t="s">
        <v>86</v>
      </c>
      <c r="N316" s="2">
        <f t="shared" ca="1" si="12"/>
        <v>17</v>
      </c>
      <c r="O316" s="6">
        <f t="shared" ca="1" si="13"/>
        <v>45456</v>
      </c>
      <c r="P316" s="2">
        <f t="shared" ca="1" si="14"/>
        <v>1</v>
      </c>
    </row>
    <row r="317" spans="1:16" x14ac:dyDescent="0.35">
      <c r="A317" s="2" t="s">
        <v>42</v>
      </c>
      <c r="B317" s="2">
        <v>787291</v>
      </c>
      <c r="C317" s="2">
        <v>360</v>
      </c>
      <c r="D317" s="2">
        <v>2883283</v>
      </c>
      <c r="E317" s="2" t="s">
        <v>635</v>
      </c>
      <c r="F317" s="6" t="s">
        <v>78</v>
      </c>
      <c r="G317" s="6" t="s">
        <v>147</v>
      </c>
      <c r="H317" s="2">
        <v>2024839</v>
      </c>
      <c r="I317" s="2" t="s">
        <v>68</v>
      </c>
      <c r="J317" s="2">
        <v>387.51</v>
      </c>
      <c r="K317" s="2">
        <v>1.00101</v>
      </c>
      <c r="L317" s="2" t="s">
        <v>65</v>
      </c>
      <c r="M317" s="2" t="s">
        <v>86</v>
      </c>
      <c r="N317" s="2">
        <f t="shared" ca="1" si="12"/>
        <v>17</v>
      </c>
      <c r="O317" s="6">
        <f t="shared" ca="1" si="13"/>
        <v>45456</v>
      </c>
      <c r="P317" s="2">
        <f t="shared" ca="1" si="14"/>
        <v>1</v>
      </c>
    </row>
    <row r="318" spans="1:16" x14ac:dyDescent="0.35">
      <c r="A318" s="2" t="s">
        <v>42</v>
      </c>
      <c r="B318" s="2">
        <v>787290</v>
      </c>
      <c r="C318" s="2">
        <v>360</v>
      </c>
      <c r="D318" s="2">
        <v>2883151</v>
      </c>
      <c r="E318" s="2" t="s">
        <v>635</v>
      </c>
      <c r="F318" s="6" t="s">
        <v>78</v>
      </c>
      <c r="G318" s="6" t="s">
        <v>147</v>
      </c>
      <c r="H318" s="2">
        <v>2024837</v>
      </c>
      <c r="I318" s="2" t="s">
        <v>68</v>
      </c>
      <c r="J318" s="2">
        <v>580.29</v>
      </c>
      <c r="K318" s="2">
        <v>1.00101</v>
      </c>
      <c r="L318" s="2" t="s">
        <v>65</v>
      </c>
      <c r="M318" s="2" t="s">
        <v>86</v>
      </c>
      <c r="N318" s="2">
        <f t="shared" ca="1" si="12"/>
        <v>17</v>
      </c>
      <c r="O318" s="6">
        <f t="shared" ca="1" si="13"/>
        <v>45456</v>
      </c>
      <c r="P318" s="2">
        <f t="shared" ca="1" si="14"/>
        <v>1</v>
      </c>
    </row>
    <row r="319" spans="1:16" x14ac:dyDescent="0.35">
      <c r="A319" s="2" t="s">
        <v>42</v>
      </c>
      <c r="B319" s="2">
        <v>787288</v>
      </c>
      <c r="C319" s="2">
        <v>360</v>
      </c>
      <c r="D319" s="2">
        <v>2883153</v>
      </c>
      <c r="E319" s="2" t="s">
        <v>635</v>
      </c>
      <c r="F319" s="6" t="s">
        <v>78</v>
      </c>
      <c r="G319" s="6" t="s">
        <v>147</v>
      </c>
      <c r="H319" s="2">
        <v>2024847</v>
      </c>
      <c r="I319" s="2" t="s">
        <v>68</v>
      </c>
      <c r="J319" s="2">
        <v>11770.03</v>
      </c>
      <c r="K319" s="2">
        <v>1.00101</v>
      </c>
      <c r="L319" s="2" t="s">
        <v>65</v>
      </c>
      <c r="M319" s="2" t="s">
        <v>86</v>
      </c>
      <c r="N319" s="2">
        <f t="shared" ca="1" si="12"/>
        <v>17</v>
      </c>
      <c r="O319" s="6">
        <f t="shared" ca="1" si="13"/>
        <v>45456</v>
      </c>
      <c r="P319" s="2">
        <f t="shared" ca="1" si="14"/>
        <v>1</v>
      </c>
    </row>
    <row r="320" spans="1:16" x14ac:dyDescent="0.35">
      <c r="A320" s="2" t="s">
        <v>42</v>
      </c>
      <c r="B320" s="2">
        <v>787286</v>
      </c>
      <c r="C320" s="2">
        <v>360</v>
      </c>
      <c r="D320" s="2">
        <v>2883161</v>
      </c>
      <c r="E320" s="2" t="s">
        <v>635</v>
      </c>
      <c r="F320" s="6" t="s">
        <v>78</v>
      </c>
      <c r="G320" s="6" t="s">
        <v>147</v>
      </c>
      <c r="H320" s="2">
        <v>2024842</v>
      </c>
      <c r="I320" s="2" t="s">
        <v>68</v>
      </c>
      <c r="J320" s="2">
        <v>9164.52</v>
      </c>
      <c r="K320" s="2">
        <v>1.00101</v>
      </c>
      <c r="L320" s="2" t="s">
        <v>65</v>
      </c>
      <c r="M320" s="2" t="s">
        <v>86</v>
      </c>
      <c r="N320" s="2">
        <f t="shared" ca="1" si="12"/>
        <v>17</v>
      </c>
      <c r="O320" s="6">
        <f t="shared" ca="1" si="13"/>
        <v>45456</v>
      </c>
      <c r="P320" s="2">
        <f t="shared" ca="1" si="14"/>
        <v>1</v>
      </c>
    </row>
    <row r="321" spans="1:16" x14ac:dyDescent="0.35">
      <c r="A321" s="2" t="s">
        <v>42</v>
      </c>
      <c r="B321" s="2">
        <v>787285</v>
      </c>
      <c r="C321" s="2">
        <v>360</v>
      </c>
      <c r="D321" s="2">
        <v>2883164</v>
      </c>
      <c r="E321" s="2" t="s">
        <v>635</v>
      </c>
      <c r="F321" s="6" t="s">
        <v>78</v>
      </c>
      <c r="G321" s="6" t="s">
        <v>147</v>
      </c>
      <c r="H321" s="2">
        <v>2024849</v>
      </c>
      <c r="I321" s="2" t="s">
        <v>68</v>
      </c>
      <c r="J321" s="2">
        <v>8970.24</v>
      </c>
      <c r="K321" s="2">
        <v>1.00101</v>
      </c>
      <c r="L321" s="2" t="s">
        <v>65</v>
      </c>
      <c r="M321" s="2" t="s">
        <v>86</v>
      </c>
      <c r="N321" s="2">
        <f t="shared" ca="1" si="12"/>
        <v>17</v>
      </c>
      <c r="O321" s="6">
        <f t="shared" ca="1" si="13"/>
        <v>45456</v>
      </c>
      <c r="P321" s="2">
        <f t="shared" ca="1" si="14"/>
        <v>1</v>
      </c>
    </row>
    <row r="322" spans="1:16" x14ac:dyDescent="0.35">
      <c r="A322" s="2" t="s">
        <v>42</v>
      </c>
      <c r="B322" s="2">
        <v>787284</v>
      </c>
      <c r="C322" s="2">
        <v>360</v>
      </c>
      <c r="D322" s="2">
        <v>2883142</v>
      </c>
      <c r="E322" s="2" t="s">
        <v>635</v>
      </c>
      <c r="F322" s="6" t="s">
        <v>78</v>
      </c>
      <c r="G322" s="6" t="s">
        <v>147</v>
      </c>
      <c r="H322" s="2">
        <v>2024846</v>
      </c>
      <c r="I322" s="2" t="s">
        <v>68</v>
      </c>
      <c r="J322" s="2">
        <v>9201.2199999999993</v>
      </c>
      <c r="K322" s="2">
        <v>1.00101</v>
      </c>
      <c r="L322" s="2" t="s">
        <v>65</v>
      </c>
      <c r="M322" s="2" t="s">
        <v>86</v>
      </c>
      <c r="N322" s="2">
        <f t="shared" ca="1" si="12"/>
        <v>17</v>
      </c>
      <c r="O322" s="6">
        <f t="shared" ca="1" si="13"/>
        <v>45456</v>
      </c>
      <c r="P322" s="2">
        <f t="shared" ca="1" si="14"/>
        <v>1</v>
      </c>
    </row>
    <row r="323" spans="1:16" x14ac:dyDescent="0.35">
      <c r="A323" s="2" t="s">
        <v>40</v>
      </c>
      <c r="B323" s="2">
        <v>787191</v>
      </c>
      <c r="C323" s="2">
        <v>360</v>
      </c>
      <c r="D323" s="2">
        <v>2882865</v>
      </c>
      <c r="E323" s="2" t="s">
        <v>246</v>
      </c>
      <c r="F323" s="6" t="s">
        <v>116</v>
      </c>
      <c r="G323" s="6" t="s">
        <v>247</v>
      </c>
      <c r="H323" s="2">
        <v>1885379</v>
      </c>
      <c r="I323" s="2" t="s">
        <v>79</v>
      </c>
      <c r="J323" s="2">
        <v>699.42</v>
      </c>
      <c r="K323" s="2">
        <v>1.0100899999999999</v>
      </c>
      <c r="L323" s="2" t="s">
        <v>76</v>
      </c>
      <c r="M323" s="2" t="s">
        <v>175</v>
      </c>
      <c r="N323" s="2">
        <f t="shared" ref="N323:N386" ca="1" si="15">IF(G323 &lt; TODAY(), -NETWORKDAYS(G323, TODAY()), NETWORKDAYS(TODAY(), G323))</f>
        <v>21</v>
      </c>
      <c r="O323" s="6">
        <f t="shared" ref="O323:O386" ca="1" si="16">TODAY()</f>
        <v>45456</v>
      </c>
      <c r="P323" s="2">
        <f t="shared" ref="P323:P386" ca="1" si="17">NETWORKDAYS(O323,TODAY())</f>
        <v>1</v>
      </c>
    </row>
    <row r="324" spans="1:16" x14ac:dyDescent="0.35">
      <c r="A324" s="2" t="s">
        <v>38</v>
      </c>
      <c r="B324" s="2">
        <v>787102</v>
      </c>
      <c r="C324" s="2">
        <v>360</v>
      </c>
      <c r="D324" s="2">
        <v>2882878</v>
      </c>
      <c r="E324" s="2" t="s">
        <v>636</v>
      </c>
      <c r="F324" s="6" t="s">
        <v>116</v>
      </c>
      <c r="G324" s="6" t="s">
        <v>247</v>
      </c>
      <c r="H324" s="2">
        <v>544610</v>
      </c>
      <c r="I324" s="2" t="s">
        <v>79</v>
      </c>
      <c r="J324" s="2">
        <v>932.33</v>
      </c>
      <c r="K324" s="2">
        <v>1.0740099999999999</v>
      </c>
      <c r="L324" s="2" t="s">
        <v>76</v>
      </c>
      <c r="M324" s="2" t="s">
        <v>105</v>
      </c>
      <c r="N324" s="2">
        <f t="shared" ca="1" si="15"/>
        <v>21</v>
      </c>
      <c r="O324" s="6">
        <f t="shared" ca="1" si="16"/>
        <v>45456</v>
      </c>
      <c r="P324" s="2">
        <f t="shared" ca="1" si="17"/>
        <v>1</v>
      </c>
    </row>
    <row r="325" spans="1:16" x14ac:dyDescent="0.35">
      <c r="A325" s="2" t="s">
        <v>36</v>
      </c>
      <c r="B325" s="2">
        <v>786659</v>
      </c>
      <c r="C325" s="2">
        <v>360</v>
      </c>
      <c r="D325" s="2">
        <v>2882852</v>
      </c>
      <c r="E325" s="2" t="s">
        <v>248</v>
      </c>
      <c r="F325" s="6" t="s">
        <v>116</v>
      </c>
      <c r="G325" s="6" t="s">
        <v>237</v>
      </c>
      <c r="H325" s="2">
        <v>608014</v>
      </c>
      <c r="I325" s="2" t="s">
        <v>79</v>
      </c>
      <c r="J325" s="2">
        <v>659.1</v>
      </c>
      <c r="K325" s="2">
        <v>1.0620099999999999</v>
      </c>
      <c r="L325" s="2" t="s">
        <v>76</v>
      </c>
      <c r="M325" s="2" t="s">
        <v>176</v>
      </c>
      <c r="N325" s="2">
        <f t="shared" ca="1" si="15"/>
        <v>16</v>
      </c>
      <c r="O325" s="6">
        <f t="shared" ca="1" si="16"/>
        <v>45456</v>
      </c>
      <c r="P325" s="2">
        <f t="shared" ca="1" si="17"/>
        <v>1</v>
      </c>
    </row>
    <row r="326" spans="1:16" x14ac:dyDescent="0.35">
      <c r="A326" s="2" t="s">
        <v>42</v>
      </c>
      <c r="B326" s="2">
        <v>786557</v>
      </c>
      <c r="C326" s="2">
        <v>360</v>
      </c>
      <c r="D326" s="2">
        <v>2882823</v>
      </c>
      <c r="E326" s="2" t="s">
        <v>637</v>
      </c>
      <c r="F326" s="6" t="s">
        <v>116</v>
      </c>
      <c r="G326" s="6" t="s">
        <v>237</v>
      </c>
      <c r="H326" s="2">
        <v>4046</v>
      </c>
      <c r="I326" s="2" t="s">
        <v>79</v>
      </c>
      <c r="J326" s="2">
        <v>394</v>
      </c>
      <c r="K326" s="2">
        <v>1.05501</v>
      </c>
      <c r="L326" s="2" t="s">
        <v>76</v>
      </c>
      <c r="M326" s="2" t="s">
        <v>561</v>
      </c>
      <c r="N326" s="2">
        <f t="shared" ca="1" si="15"/>
        <v>16</v>
      </c>
      <c r="O326" s="6">
        <f t="shared" ca="1" si="16"/>
        <v>45456</v>
      </c>
      <c r="P326" s="2">
        <f t="shared" ca="1" si="17"/>
        <v>1</v>
      </c>
    </row>
    <row r="327" spans="1:16" x14ac:dyDescent="0.35">
      <c r="A327" s="2" t="s">
        <v>40</v>
      </c>
      <c r="B327" s="2">
        <v>786422</v>
      </c>
      <c r="C327" s="2">
        <v>360</v>
      </c>
      <c r="D327" s="2">
        <v>2882817</v>
      </c>
      <c r="E327" s="2" t="s">
        <v>638</v>
      </c>
      <c r="F327" s="6" t="s">
        <v>116</v>
      </c>
      <c r="G327" s="6" t="s">
        <v>244</v>
      </c>
      <c r="H327" s="2">
        <v>19727</v>
      </c>
      <c r="I327" s="2" t="s">
        <v>68</v>
      </c>
      <c r="J327" s="2">
        <v>817</v>
      </c>
      <c r="K327" s="2">
        <v>1.0480100000000001</v>
      </c>
      <c r="L327" s="2" t="s">
        <v>76</v>
      </c>
      <c r="M327" s="2" t="s">
        <v>75</v>
      </c>
      <c r="N327" s="2">
        <f t="shared" ca="1" si="15"/>
        <v>17</v>
      </c>
      <c r="O327" s="6">
        <f t="shared" ca="1" si="16"/>
        <v>45456</v>
      </c>
      <c r="P327" s="2">
        <f t="shared" ca="1" si="17"/>
        <v>1</v>
      </c>
    </row>
    <row r="328" spans="1:16" x14ac:dyDescent="0.35">
      <c r="A328" s="2" t="s">
        <v>38</v>
      </c>
      <c r="B328" s="2">
        <v>786390</v>
      </c>
      <c r="C328" s="2">
        <v>360</v>
      </c>
      <c r="D328" s="2">
        <v>2882806</v>
      </c>
      <c r="E328" s="2" t="s">
        <v>639</v>
      </c>
      <c r="F328" s="6" t="s">
        <v>116</v>
      </c>
      <c r="G328" s="6" t="s">
        <v>231</v>
      </c>
      <c r="H328" s="2">
        <v>1791</v>
      </c>
      <c r="I328" s="2" t="s">
        <v>68</v>
      </c>
      <c r="J328" s="2">
        <v>19451</v>
      </c>
      <c r="K328" s="2">
        <v>1.02701</v>
      </c>
      <c r="L328" s="2" t="s">
        <v>76</v>
      </c>
      <c r="M328" s="2" t="s">
        <v>179</v>
      </c>
      <c r="N328" s="2">
        <f t="shared" ca="1" si="15"/>
        <v>18</v>
      </c>
      <c r="O328" s="6">
        <f t="shared" ca="1" si="16"/>
        <v>45456</v>
      </c>
      <c r="P328" s="2">
        <f t="shared" ca="1" si="17"/>
        <v>1</v>
      </c>
    </row>
    <row r="329" spans="1:16" x14ac:dyDescent="0.35">
      <c r="A329" s="2" t="s">
        <v>38</v>
      </c>
      <c r="B329" s="2">
        <v>786370</v>
      </c>
      <c r="C329" s="2">
        <v>360</v>
      </c>
      <c r="D329" s="2">
        <v>2882799</v>
      </c>
      <c r="E329" s="2" t="s">
        <v>118</v>
      </c>
      <c r="F329" s="6" t="s">
        <v>116</v>
      </c>
      <c r="G329" s="6" t="s">
        <v>237</v>
      </c>
      <c r="H329" s="2">
        <v>415118</v>
      </c>
      <c r="I329" s="2" t="s">
        <v>68</v>
      </c>
      <c r="J329" s="2">
        <v>978.53</v>
      </c>
      <c r="K329" s="2">
        <v>1.02901</v>
      </c>
      <c r="L329" s="2" t="s">
        <v>76</v>
      </c>
      <c r="M329" s="2" t="s">
        <v>119</v>
      </c>
      <c r="N329" s="2">
        <f t="shared" ca="1" si="15"/>
        <v>16</v>
      </c>
      <c r="O329" s="6">
        <f t="shared" ca="1" si="16"/>
        <v>45456</v>
      </c>
      <c r="P329" s="2">
        <f t="shared" ca="1" si="17"/>
        <v>1</v>
      </c>
    </row>
    <row r="330" spans="1:16" x14ac:dyDescent="0.35">
      <c r="A330" s="2" t="s">
        <v>38</v>
      </c>
      <c r="B330" s="2">
        <v>786368</v>
      </c>
      <c r="C330" s="2">
        <v>360</v>
      </c>
      <c r="D330" s="2">
        <v>2882802</v>
      </c>
      <c r="E330" s="2" t="s">
        <v>118</v>
      </c>
      <c r="F330" s="6" t="s">
        <v>116</v>
      </c>
      <c r="G330" s="6" t="s">
        <v>237</v>
      </c>
      <c r="H330" s="2">
        <v>415142</v>
      </c>
      <c r="I330" s="2" t="s">
        <v>79</v>
      </c>
      <c r="J330" s="2">
        <v>556.11</v>
      </c>
      <c r="K330" s="2">
        <v>1.02901</v>
      </c>
      <c r="L330" s="2" t="s">
        <v>76</v>
      </c>
      <c r="M330" s="2" t="s">
        <v>119</v>
      </c>
      <c r="N330" s="2">
        <f t="shared" ca="1" si="15"/>
        <v>16</v>
      </c>
      <c r="O330" s="6">
        <f t="shared" ca="1" si="16"/>
        <v>45456</v>
      </c>
      <c r="P330" s="2">
        <f t="shared" ca="1" si="17"/>
        <v>1</v>
      </c>
    </row>
    <row r="331" spans="1:16" x14ac:dyDescent="0.35">
      <c r="A331" s="2" t="s">
        <v>36</v>
      </c>
      <c r="B331" s="2">
        <v>786163</v>
      </c>
      <c r="C331" s="2">
        <v>360</v>
      </c>
      <c r="D331" s="2">
        <v>2888640</v>
      </c>
      <c r="E331" s="2" t="s">
        <v>433</v>
      </c>
      <c r="F331" s="6" t="s">
        <v>129</v>
      </c>
      <c r="G331" s="6" t="s">
        <v>440</v>
      </c>
      <c r="H331" s="2">
        <v>1478</v>
      </c>
      <c r="I331" s="2" t="s">
        <v>79</v>
      </c>
      <c r="J331" s="2">
        <v>4818.96</v>
      </c>
      <c r="K331" s="2">
        <v>1.03101</v>
      </c>
      <c r="L331" s="2" t="s">
        <v>65</v>
      </c>
      <c r="M331" s="2" t="s">
        <v>207</v>
      </c>
      <c r="N331" s="2">
        <f t="shared" ca="1" si="15"/>
        <v>35</v>
      </c>
      <c r="O331" s="6">
        <f t="shared" ca="1" si="16"/>
        <v>45456</v>
      </c>
      <c r="P331" s="2">
        <f t="shared" ca="1" si="17"/>
        <v>1</v>
      </c>
    </row>
    <row r="332" spans="1:16" x14ac:dyDescent="0.35">
      <c r="A332" s="2" t="s">
        <v>42</v>
      </c>
      <c r="B332" s="2">
        <v>786152</v>
      </c>
      <c r="C332" s="2">
        <v>360</v>
      </c>
      <c r="D332" s="2">
        <v>2882600</v>
      </c>
      <c r="E332" s="2" t="s">
        <v>640</v>
      </c>
      <c r="F332" s="6" t="s">
        <v>116</v>
      </c>
      <c r="G332" s="6" t="s">
        <v>244</v>
      </c>
      <c r="H332" s="2">
        <v>2215</v>
      </c>
      <c r="I332" s="2" t="s">
        <v>79</v>
      </c>
      <c r="J332" s="2">
        <v>450</v>
      </c>
      <c r="K332" s="2">
        <v>1.0860099999999999</v>
      </c>
      <c r="L332" s="2" t="s">
        <v>65</v>
      </c>
      <c r="M332" s="2" t="s">
        <v>151</v>
      </c>
      <c r="N332" s="2">
        <f t="shared" ca="1" si="15"/>
        <v>17</v>
      </c>
      <c r="O332" s="6">
        <f t="shared" ca="1" si="16"/>
        <v>45456</v>
      </c>
      <c r="P332" s="2">
        <f t="shared" ca="1" si="17"/>
        <v>1</v>
      </c>
    </row>
    <row r="333" spans="1:16" x14ac:dyDescent="0.35">
      <c r="A333" s="2" t="s">
        <v>42</v>
      </c>
      <c r="B333" s="2">
        <v>786138</v>
      </c>
      <c r="C333" s="2">
        <v>360</v>
      </c>
      <c r="D333" s="2">
        <v>2882598</v>
      </c>
      <c r="E333" s="2" t="s">
        <v>640</v>
      </c>
      <c r="F333" s="6" t="s">
        <v>116</v>
      </c>
      <c r="G333" s="6" t="s">
        <v>244</v>
      </c>
      <c r="H333" s="2">
        <v>2216</v>
      </c>
      <c r="I333" s="2" t="s">
        <v>79</v>
      </c>
      <c r="J333" s="2">
        <v>450</v>
      </c>
      <c r="K333" s="2">
        <v>1.0860099999999999</v>
      </c>
      <c r="L333" s="2" t="s">
        <v>65</v>
      </c>
      <c r="M333" s="2" t="s">
        <v>151</v>
      </c>
      <c r="N333" s="2">
        <f t="shared" ca="1" si="15"/>
        <v>17</v>
      </c>
      <c r="O333" s="6">
        <f t="shared" ca="1" si="16"/>
        <v>45456</v>
      </c>
      <c r="P333" s="2">
        <f t="shared" ca="1" si="17"/>
        <v>1</v>
      </c>
    </row>
    <row r="334" spans="1:16" x14ac:dyDescent="0.35">
      <c r="A334" s="2" t="s">
        <v>38</v>
      </c>
      <c r="B334" s="2">
        <v>786122</v>
      </c>
      <c r="C334" s="2">
        <v>360</v>
      </c>
      <c r="D334" s="2">
        <v>2882467</v>
      </c>
      <c r="E334" s="2" t="s">
        <v>243</v>
      </c>
      <c r="F334" s="6" t="s">
        <v>116</v>
      </c>
      <c r="G334" s="6" t="s">
        <v>250</v>
      </c>
      <c r="H334" s="2">
        <v>2024207</v>
      </c>
      <c r="I334" s="2" t="s">
        <v>68</v>
      </c>
      <c r="J334" s="2">
        <v>9066.67</v>
      </c>
      <c r="K334" s="2">
        <v>1.0010399999999999</v>
      </c>
      <c r="L334" s="2" t="s">
        <v>65</v>
      </c>
      <c r="M334" s="2" t="s">
        <v>86</v>
      </c>
      <c r="N334" s="2">
        <f t="shared" ca="1" si="15"/>
        <v>27</v>
      </c>
      <c r="O334" s="6">
        <f t="shared" ca="1" si="16"/>
        <v>45456</v>
      </c>
      <c r="P334" s="2">
        <f t="shared" ca="1" si="17"/>
        <v>1</v>
      </c>
    </row>
    <row r="335" spans="1:16" x14ac:dyDescent="0.35">
      <c r="A335" s="2" t="s">
        <v>40</v>
      </c>
      <c r="B335" s="2">
        <v>786120</v>
      </c>
      <c r="C335" s="2">
        <v>360</v>
      </c>
      <c r="D335" s="2">
        <v>2882463</v>
      </c>
      <c r="E335" s="2" t="s">
        <v>641</v>
      </c>
      <c r="F335" s="6" t="s">
        <v>129</v>
      </c>
      <c r="G335" s="6" t="s">
        <v>147</v>
      </c>
      <c r="H335" s="2">
        <v>6390</v>
      </c>
      <c r="I335" s="2" t="s">
        <v>68</v>
      </c>
      <c r="J335" s="2">
        <v>5200</v>
      </c>
      <c r="K335" s="2">
        <v>1.09301</v>
      </c>
      <c r="L335" s="2" t="s">
        <v>65</v>
      </c>
      <c r="M335" s="2" t="s">
        <v>617</v>
      </c>
      <c r="N335" s="2">
        <f t="shared" ca="1" si="15"/>
        <v>17</v>
      </c>
      <c r="O335" s="6">
        <f t="shared" ca="1" si="16"/>
        <v>45456</v>
      </c>
      <c r="P335" s="2">
        <f t="shared" ca="1" si="17"/>
        <v>1</v>
      </c>
    </row>
    <row r="336" spans="1:16" x14ac:dyDescent="0.35">
      <c r="A336" s="2" t="s">
        <v>38</v>
      </c>
      <c r="B336" s="2">
        <v>786082</v>
      </c>
      <c r="C336" s="2">
        <v>360</v>
      </c>
      <c r="D336" s="2">
        <v>2882199</v>
      </c>
      <c r="E336" s="2" t="s">
        <v>642</v>
      </c>
      <c r="F336" s="6" t="s">
        <v>116</v>
      </c>
      <c r="G336" s="6" t="s">
        <v>244</v>
      </c>
      <c r="H336" s="2">
        <v>541</v>
      </c>
      <c r="I336" s="2" t="s">
        <v>68</v>
      </c>
      <c r="J336" s="2">
        <v>6770.98</v>
      </c>
      <c r="K336" s="2">
        <v>1.07602</v>
      </c>
      <c r="L336" s="2" t="s">
        <v>65</v>
      </c>
      <c r="M336" s="2" t="s">
        <v>77</v>
      </c>
      <c r="N336" s="2">
        <f t="shared" ca="1" si="15"/>
        <v>17</v>
      </c>
      <c r="O336" s="6">
        <f t="shared" ca="1" si="16"/>
        <v>45456</v>
      </c>
      <c r="P336" s="2">
        <f t="shared" ca="1" si="17"/>
        <v>1</v>
      </c>
    </row>
    <row r="337" spans="1:16" x14ac:dyDescent="0.35">
      <c r="A337" s="2" t="s">
        <v>36</v>
      </c>
      <c r="B337" s="2">
        <v>786073</v>
      </c>
      <c r="C337" s="2">
        <v>360</v>
      </c>
      <c r="D337" s="2">
        <v>2882117</v>
      </c>
      <c r="E337" s="2" t="s">
        <v>643</v>
      </c>
      <c r="F337" s="6" t="s">
        <v>116</v>
      </c>
      <c r="G337" s="6" t="s">
        <v>231</v>
      </c>
      <c r="H337" s="2">
        <v>80631</v>
      </c>
      <c r="I337" s="2" t="s">
        <v>79</v>
      </c>
      <c r="J337" s="2">
        <v>707.93</v>
      </c>
      <c r="K337" s="2">
        <v>1.01501</v>
      </c>
      <c r="L337" s="2" t="s">
        <v>76</v>
      </c>
      <c r="M337" s="2" t="s">
        <v>475</v>
      </c>
      <c r="N337" s="2">
        <f t="shared" ca="1" si="15"/>
        <v>18</v>
      </c>
      <c r="O337" s="6">
        <f t="shared" ca="1" si="16"/>
        <v>45456</v>
      </c>
      <c r="P337" s="2">
        <f t="shared" ca="1" si="17"/>
        <v>1</v>
      </c>
    </row>
    <row r="338" spans="1:16" x14ac:dyDescent="0.35">
      <c r="A338" s="2" t="s">
        <v>36</v>
      </c>
      <c r="B338" s="2">
        <v>786067</v>
      </c>
      <c r="C338" s="2">
        <v>360</v>
      </c>
      <c r="D338" s="2">
        <v>2882042</v>
      </c>
      <c r="E338" s="2" t="s">
        <v>643</v>
      </c>
      <c r="F338" s="6" t="s">
        <v>116</v>
      </c>
      <c r="G338" s="6" t="s">
        <v>231</v>
      </c>
      <c r="H338" s="2">
        <v>80636</v>
      </c>
      <c r="I338" s="2" t="s">
        <v>79</v>
      </c>
      <c r="J338" s="2">
        <v>1998.59</v>
      </c>
      <c r="K338" s="2">
        <v>1.01501</v>
      </c>
      <c r="L338" s="2" t="s">
        <v>76</v>
      </c>
      <c r="M338" s="2" t="s">
        <v>475</v>
      </c>
      <c r="N338" s="2">
        <f t="shared" ca="1" si="15"/>
        <v>18</v>
      </c>
      <c r="O338" s="6">
        <f t="shared" ca="1" si="16"/>
        <v>45456</v>
      </c>
      <c r="P338" s="2">
        <f t="shared" ca="1" si="17"/>
        <v>1</v>
      </c>
    </row>
    <row r="339" spans="1:16" x14ac:dyDescent="0.35">
      <c r="A339" s="2" t="s">
        <v>42</v>
      </c>
      <c r="B339" s="2">
        <v>786051</v>
      </c>
      <c r="C339" s="2">
        <v>360</v>
      </c>
      <c r="D339" s="2">
        <v>2882052</v>
      </c>
      <c r="E339" s="2" t="s">
        <v>150</v>
      </c>
      <c r="F339" s="6" t="s">
        <v>135</v>
      </c>
      <c r="G339" s="6" t="s">
        <v>147</v>
      </c>
      <c r="H339" s="2">
        <v>31461</v>
      </c>
      <c r="I339" s="2" t="s">
        <v>79</v>
      </c>
      <c r="J339" s="2">
        <v>650</v>
      </c>
      <c r="K339" s="2">
        <v>1.05501</v>
      </c>
      <c r="L339" s="2" t="s">
        <v>65</v>
      </c>
      <c r="M339" s="2" t="s">
        <v>561</v>
      </c>
      <c r="N339" s="2">
        <f t="shared" ca="1" si="15"/>
        <v>17</v>
      </c>
      <c r="O339" s="6">
        <f t="shared" ca="1" si="16"/>
        <v>45456</v>
      </c>
      <c r="P339" s="2">
        <f t="shared" ca="1" si="17"/>
        <v>1</v>
      </c>
    </row>
    <row r="340" spans="1:16" x14ac:dyDescent="0.35">
      <c r="A340" s="2" t="s">
        <v>42</v>
      </c>
      <c r="B340" s="2">
        <v>786050</v>
      </c>
      <c r="C340" s="2">
        <v>360</v>
      </c>
      <c r="D340" s="2">
        <v>2881925</v>
      </c>
      <c r="E340" s="2" t="s">
        <v>150</v>
      </c>
      <c r="F340" s="6" t="s">
        <v>135</v>
      </c>
      <c r="G340" s="6" t="s">
        <v>147</v>
      </c>
      <c r="H340" s="2">
        <v>31448</v>
      </c>
      <c r="I340" s="2" t="s">
        <v>79</v>
      </c>
      <c r="J340" s="2">
        <v>650</v>
      </c>
      <c r="K340" s="2">
        <v>1.0340100000000001</v>
      </c>
      <c r="L340" s="2" t="s">
        <v>65</v>
      </c>
      <c r="M340" s="2" t="s">
        <v>159</v>
      </c>
      <c r="N340" s="2">
        <f t="shared" ca="1" si="15"/>
        <v>17</v>
      </c>
      <c r="O340" s="6">
        <f t="shared" ca="1" si="16"/>
        <v>45456</v>
      </c>
      <c r="P340" s="2">
        <f t="shared" ca="1" si="17"/>
        <v>1</v>
      </c>
    </row>
    <row r="341" spans="1:16" x14ac:dyDescent="0.35">
      <c r="A341" s="2" t="s">
        <v>40</v>
      </c>
      <c r="B341" s="2">
        <v>786037</v>
      </c>
      <c r="C341" s="2">
        <v>360</v>
      </c>
      <c r="D341" s="2">
        <v>2881894</v>
      </c>
      <c r="E341" s="2" t="s">
        <v>644</v>
      </c>
      <c r="F341" s="6" t="s">
        <v>116</v>
      </c>
      <c r="G341" s="6" t="s">
        <v>244</v>
      </c>
      <c r="H341" s="2">
        <v>1578</v>
      </c>
      <c r="I341" s="2" t="s">
        <v>79</v>
      </c>
      <c r="J341" s="2">
        <v>777.96</v>
      </c>
      <c r="K341" s="2">
        <v>1.0900099999999999</v>
      </c>
      <c r="L341" s="2" t="s">
        <v>76</v>
      </c>
      <c r="M341" s="2" t="s">
        <v>72</v>
      </c>
      <c r="N341" s="2">
        <f t="shared" ca="1" si="15"/>
        <v>17</v>
      </c>
      <c r="O341" s="6">
        <f t="shared" ca="1" si="16"/>
        <v>45456</v>
      </c>
      <c r="P341" s="2">
        <f t="shared" ca="1" si="17"/>
        <v>1</v>
      </c>
    </row>
    <row r="342" spans="1:16" x14ac:dyDescent="0.35">
      <c r="A342" s="2" t="s">
        <v>40</v>
      </c>
      <c r="B342" s="2">
        <v>786032</v>
      </c>
      <c r="C342" s="2">
        <v>360</v>
      </c>
      <c r="D342" s="2">
        <v>2881805</v>
      </c>
      <c r="E342" s="2" t="s">
        <v>644</v>
      </c>
      <c r="F342" s="6" t="s">
        <v>116</v>
      </c>
      <c r="G342" s="6" t="s">
        <v>244</v>
      </c>
      <c r="H342" s="2">
        <v>1577</v>
      </c>
      <c r="I342" s="2" t="s">
        <v>79</v>
      </c>
      <c r="J342" s="2">
        <v>777.96</v>
      </c>
      <c r="K342" s="2">
        <v>1.04101</v>
      </c>
      <c r="L342" s="2" t="s">
        <v>76</v>
      </c>
      <c r="M342" s="2" t="s">
        <v>443</v>
      </c>
      <c r="N342" s="2">
        <f t="shared" ca="1" si="15"/>
        <v>17</v>
      </c>
      <c r="O342" s="6">
        <f t="shared" ca="1" si="16"/>
        <v>45456</v>
      </c>
      <c r="P342" s="2">
        <f t="shared" ca="1" si="17"/>
        <v>1</v>
      </c>
    </row>
    <row r="343" spans="1:16" x14ac:dyDescent="0.35">
      <c r="A343" s="2" t="s">
        <v>40</v>
      </c>
      <c r="B343" s="2">
        <v>786030</v>
      </c>
      <c r="C343" s="2">
        <v>360</v>
      </c>
      <c r="D343" s="2">
        <v>2881862</v>
      </c>
      <c r="E343" s="2" t="s">
        <v>644</v>
      </c>
      <c r="F343" s="6" t="s">
        <v>116</v>
      </c>
      <c r="G343" s="6" t="s">
        <v>244</v>
      </c>
      <c r="H343" s="2">
        <v>1576</v>
      </c>
      <c r="I343" s="2" t="s">
        <v>79</v>
      </c>
      <c r="J343" s="2">
        <v>777.96</v>
      </c>
      <c r="K343" s="2">
        <v>1.04901</v>
      </c>
      <c r="L343" s="2" t="s">
        <v>76</v>
      </c>
      <c r="M343" s="2" t="s">
        <v>146</v>
      </c>
      <c r="N343" s="2">
        <f t="shared" ca="1" si="15"/>
        <v>17</v>
      </c>
      <c r="O343" s="6">
        <f t="shared" ca="1" si="16"/>
        <v>45456</v>
      </c>
      <c r="P343" s="2">
        <f t="shared" ca="1" si="17"/>
        <v>1</v>
      </c>
    </row>
    <row r="344" spans="1:16" x14ac:dyDescent="0.35">
      <c r="A344" s="2" t="s">
        <v>38</v>
      </c>
      <c r="B344" s="2">
        <v>786027</v>
      </c>
      <c r="C344" s="2">
        <v>360</v>
      </c>
      <c r="D344" s="2">
        <v>2881761</v>
      </c>
      <c r="E344" s="2" t="s">
        <v>645</v>
      </c>
      <c r="F344" s="6" t="s">
        <v>116</v>
      </c>
      <c r="G344" s="6" t="s">
        <v>231</v>
      </c>
      <c r="H344" s="2">
        <v>107980</v>
      </c>
      <c r="I344" s="2" t="s">
        <v>68</v>
      </c>
      <c r="J344" s="2">
        <v>661.9</v>
      </c>
      <c r="K344" s="2">
        <v>1.05402</v>
      </c>
      <c r="L344" s="2" t="s">
        <v>65</v>
      </c>
      <c r="M344" s="2" t="s">
        <v>121</v>
      </c>
      <c r="N344" s="2">
        <f t="shared" ca="1" si="15"/>
        <v>18</v>
      </c>
      <c r="O344" s="6">
        <f t="shared" ca="1" si="16"/>
        <v>45456</v>
      </c>
      <c r="P344" s="2">
        <f t="shared" ca="1" si="17"/>
        <v>1</v>
      </c>
    </row>
    <row r="345" spans="1:16" x14ac:dyDescent="0.35">
      <c r="A345" s="2" t="s">
        <v>36</v>
      </c>
      <c r="B345" s="2">
        <v>786020</v>
      </c>
      <c r="C345" s="2">
        <v>360</v>
      </c>
      <c r="D345" s="2">
        <v>2881701</v>
      </c>
      <c r="E345" s="2" t="s">
        <v>471</v>
      </c>
      <c r="F345" s="6" t="s">
        <v>116</v>
      </c>
      <c r="G345" s="6" t="s">
        <v>147</v>
      </c>
      <c r="H345" s="2">
        <v>20241544</v>
      </c>
      <c r="I345" s="2" t="s">
        <v>68</v>
      </c>
      <c r="J345" s="2">
        <v>45445.04</v>
      </c>
      <c r="K345" s="2">
        <v>1.00101</v>
      </c>
      <c r="L345" s="2" t="s">
        <v>65</v>
      </c>
      <c r="M345" s="2" t="s">
        <v>86</v>
      </c>
      <c r="N345" s="2">
        <f t="shared" ca="1" si="15"/>
        <v>17</v>
      </c>
      <c r="O345" s="6">
        <f t="shared" ca="1" si="16"/>
        <v>45456</v>
      </c>
      <c r="P345" s="2">
        <f t="shared" ca="1" si="17"/>
        <v>1</v>
      </c>
    </row>
    <row r="346" spans="1:16" x14ac:dyDescent="0.35">
      <c r="A346" s="2" t="s">
        <v>36</v>
      </c>
      <c r="B346" s="2">
        <v>786018</v>
      </c>
      <c r="C346" s="2">
        <v>360</v>
      </c>
      <c r="D346" s="2">
        <v>2881812</v>
      </c>
      <c r="E346" s="2" t="s">
        <v>471</v>
      </c>
      <c r="F346" s="6" t="s">
        <v>116</v>
      </c>
      <c r="G346" s="6" t="s">
        <v>147</v>
      </c>
      <c r="H346" s="2">
        <v>20241545</v>
      </c>
      <c r="I346" s="2" t="s">
        <v>68</v>
      </c>
      <c r="J346" s="2">
        <v>10608.75</v>
      </c>
      <c r="K346" s="2">
        <v>1.00101</v>
      </c>
      <c r="L346" s="2" t="s">
        <v>65</v>
      </c>
      <c r="M346" s="2" t="s">
        <v>86</v>
      </c>
      <c r="N346" s="2">
        <f t="shared" ca="1" si="15"/>
        <v>17</v>
      </c>
      <c r="O346" s="6">
        <f t="shared" ca="1" si="16"/>
        <v>45456</v>
      </c>
      <c r="P346" s="2">
        <f t="shared" ca="1" si="17"/>
        <v>1</v>
      </c>
    </row>
    <row r="347" spans="1:16" x14ac:dyDescent="0.35">
      <c r="A347" s="2" t="s">
        <v>36</v>
      </c>
      <c r="B347" s="2">
        <v>786015</v>
      </c>
      <c r="C347" s="2">
        <v>360</v>
      </c>
      <c r="D347" s="2">
        <v>2881699</v>
      </c>
      <c r="E347" s="2" t="s">
        <v>471</v>
      </c>
      <c r="F347" s="6" t="s">
        <v>116</v>
      </c>
      <c r="G347" s="6" t="s">
        <v>147</v>
      </c>
      <c r="H347" s="2">
        <v>20241543</v>
      </c>
      <c r="I347" s="2" t="s">
        <v>68</v>
      </c>
      <c r="J347" s="2">
        <v>424.8</v>
      </c>
      <c r="K347" s="2">
        <v>1.00101</v>
      </c>
      <c r="L347" s="2" t="s">
        <v>65</v>
      </c>
      <c r="M347" s="2" t="s">
        <v>86</v>
      </c>
      <c r="N347" s="2">
        <f t="shared" ca="1" si="15"/>
        <v>17</v>
      </c>
      <c r="O347" s="6">
        <f t="shared" ca="1" si="16"/>
        <v>45456</v>
      </c>
      <c r="P347" s="2">
        <f t="shared" ca="1" si="17"/>
        <v>1</v>
      </c>
    </row>
    <row r="348" spans="1:16" x14ac:dyDescent="0.35">
      <c r="A348" s="2" t="s">
        <v>36</v>
      </c>
      <c r="B348" s="2">
        <v>786014</v>
      </c>
      <c r="C348" s="2">
        <v>360</v>
      </c>
      <c r="D348" s="2">
        <v>2881753</v>
      </c>
      <c r="E348" s="2" t="s">
        <v>471</v>
      </c>
      <c r="F348" s="6" t="s">
        <v>116</v>
      </c>
      <c r="G348" s="6" t="s">
        <v>147</v>
      </c>
      <c r="H348" s="2">
        <v>20241542</v>
      </c>
      <c r="I348" s="2" t="s">
        <v>68</v>
      </c>
      <c r="J348" s="2">
        <v>25982.34</v>
      </c>
      <c r="K348" s="2">
        <v>1.00101</v>
      </c>
      <c r="L348" s="2" t="s">
        <v>65</v>
      </c>
      <c r="M348" s="2" t="s">
        <v>86</v>
      </c>
      <c r="N348" s="2">
        <f t="shared" ca="1" si="15"/>
        <v>17</v>
      </c>
      <c r="O348" s="6">
        <f t="shared" ca="1" si="16"/>
        <v>45456</v>
      </c>
      <c r="P348" s="2">
        <f t="shared" ca="1" si="17"/>
        <v>1</v>
      </c>
    </row>
    <row r="349" spans="1:16" x14ac:dyDescent="0.35">
      <c r="A349" s="2" t="s">
        <v>36</v>
      </c>
      <c r="B349" s="2">
        <v>786013</v>
      </c>
      <c r="C349" s="2">
        <v>360</v>
      </c>
      <c r="D349" s="2">
        <v>2881698</v>
      </c>
      <c r="E349" s="2" t="s">
        <v>471</v>
      </c>
      <c r="F349" s="6" t="s">
        <v>116</v>
      </c>
      <c r="G349" s="6" t="s">
        <v>147</v>
      </c>
      <c r="H349" s="2">
        <v>20241541</v>
      </c>
      <c r="I349" s="2" t="s">
        <v>68</v>
      </c>
      <c r="J349" s="2">
        <v>5798.27</v>
      </c>
      <c r="K349" s="2">
        <v>1.00101</v>
      </c>
      <c r="L349" s="2" t="s">
        <v>65</v>
      </c>
      <c r="M349" s="2" t="s">
        <v>86</v>
      </c>
      <c r="N349" s="2">
        <f t="shared" ca="1" si="15"/>
        <v>17</v>
      </c>
      <c r="O349" s="6">
        <f t="shared" ca="1" si="16"/>
        <v>45456</v>
      </c>
      <c r="P349" s="2">
        <f t="shared" ca="1" si="17"/>
        <v>1</v>
      </c>
    </row>
    <row r="350" spans="1:16" x14ac:dyDescent="0.35">
      <c r="A350" s="2" t="s">
        <v>36</v>
      </c>
      <c r="B350" s="2">
        <v>786012</v>
      </c>
      <c r="C350" s="2">
        <v>360</v>
      </c>
      <c r="D350" s="2">
        <v>2881695</v>
      </c>
      <c r="E350" s="2" t="s">
        <v>471</v>
      </c>
      <c r="F350" s="6" t="s">
        <v>116</v>
      </c>
      <c r="G350" s="6" t="s">
        <v>147</v>
      </c>
      <c r="H350" s="2">
        <v>20241540</v>
      </c>
      <c r="I350" s="2" t="s">
        <v>68</v>
      </c>
      <c r="J350" s="2">
        <v>1415.07</v>
      </c>
      <c r="K350" s="2">
        <v>1.00101</v>
      </c>
      <c r="L350" s="2" t="s">
        <v>65</v>
      </c>
      <c r="M350" s="2" t="s">
        <v>86</v>
      </c>
      <c r="N350" s="2">
        <f t="shared" ca="1" si="15"/>
        <v>17</v>
      </c>
      <c r="O350" s="6">
        <f t="shared" ca="1" si="16"/>
        <v>45456</v>
      </c>
      <c r="P350" s="2">
        <f t="shared" ca="1" si="17"/>
        <v>1</v>
      </c>
    </row>
    <row r="351" spans="1:16" x14ac:dyDescent="0.35">
      <c r="A351" s="2" t="s">
        <v>42</v>
      </c>
      <c r="B351" s="2">
        <v>786001</v>
      </c>
      <c r="C351" s="2">
        <v>360</v>
      </c>
      <c r="D351" s="2">
        <v>2881554</v>
      </c>
      <c r="E351" s="2" t="s">
        <v>472</v>
      </c>
      <c r="F351" s="6" t="s">
        <v>116</v>
      </c>
      <c r="G351" s="6" t="s">
        <v>173</v>
      </c>
      <c r="H351" s="2">
        <v>4835</v>
      </c>
      <c r="I351" s="2" t="s">
        <v>68</v>
      </c>
      <c r="J351" s="2">
        <v>1910</v>
      </c>
      <c r="K351" s="2">
        <v>1.0920099999999999</v>
      </c>
      <c r="L351" s="2" t="s">
        <v>65</v>
      </c>
      <c r="M351" s="2" t="s">
        <v>164</v>
      </c>
      <c r="N351" s="2">
        <f t="shared" ca="1" si="15"/>
        <v>9</v>
      </c>
      <c r="O351" s="6">
        <f t="shared" ca="1" si="16"/>
        <v>45456</v>
      </c>
      <c r="P351" s="2">
        <f t="shared" ca="1" si="17"/>
        <v>1</v>
      </c>
    </row>
    <row r="352" spans="1:16" x14ac:dyDescent="0.35">
      <c r="A352" s="2" t="s">
        <v>42</v>
      </c>
      <c r="B352" s="2">
        <v>785999</v>
      </c>
      <c r="C352" s="2">
        <v>360</v>
      </c>
      <c r="D352" s="2">
        <v>2881539</v>
      </c>
      <c r="E352" s="2" t="s">
        <v>472</v>
      </c>
      <c r="F352" s="6" t="s">
        <v>116</v>
      </c>
      <c r="G352" s="6" t="s">
        <v>173</v>
      </c>
      <c r="H352" s="2">
        <v>4836</v>
      </c>
      <c r="I352" s="2" t="s">
        <v>68</v>
      </c>
      <c r="J352" s="2">
        <v>1910</v>
      </c>
      <c r="K352" s="2">
        <v>1.09202</v>
      </c>
      <c r="L352" s="2" t="s">
        <v>65</v>
      </c>
      <c r="M352" s="2" t="s">
        <v>164</v>
      </c>
      <c r="N352" s="2">
        <f t="shared" ca="1" si="15"/>
        <v>9</v>
      </c>
      <c r="O352" s="6">
        <f t="shared" ca="1" si="16"/>
        <v>45456</v>
      </c>
      <c r="P352" s="2">
        <f t="shared" ca="1" si="17"/>
        <v>1</v>
      </c>
    </row>
    <row r="353" spans="1:16" x14ac:dyDescent="0.35">
      <c r="A353" s="2" t="s">
        <v>42</v>
      </c>
      <c r="B353" s="2">
        <v>785998</v>
      </c>
      <c r="C353" s="2">
        <v>360</v>
      </c>
      <c r="D353" s="2">
        <v>2881512</v>
      </c>
      <c r="E353" s="2" t="s">
        <v>472</v>
      </c>
      <c r="F353" s="6" t="s">
        <v>116</v>
      </c>
      <c r="G353" s="6" t="s">
        <v>173</v>
      </c>
      <c r="H353" s="2">
        <v>4837</v>
      </c>
      <c r="I353" s="2" t="s">
        <v>68</v>
      </c>
      <c r="J353" s="2">
        <v>1850</v>
      </c>
      <c r="K353" s="2">
        <v>1.0920300000000001</v>
      </c>
      <c r="L353" s="2" t="s">
        <v>65</v>
      </c>
      <c r="M353" s="2" t="s">
        <v>164</v>
      </c>
      <c r="N353" s="2">
        <f t="shared" ca="1" si="15"/>
        <v>9</v>
      </c>
      <c r="O353" s="6">
        <f t="shared" ca="1" si="16"/>
        <v>45456</v>
      </c>
      <c r="P353" s="2">
        <f t="shared" ca="1" si="17"/>
        <v>1</v>
      </c>
    </row>
    <row r="354" spans="1:16" x14ac:dyDescent="0.35">
      <c r="A354" s="2" t="s">
        <v>40</v>
      </c>
      <c r="B354" s="2">
        <v>785990</v>
      </c>
      <c r="C354" s="2">
        <v>360</v>
      </c>
      <c r="D354" s="2">
        <v>2881338</v>
      </c>
      <c r="E354" s="2" t="s">
        <v>646</v>
      </c>
      <c r="F354" s="6" t="s">
        <v>116</v>
      </c>
      <c r="G354" s="6" t="s">
        <v>237</v>
      </c>
      <c r="H354" s="2">
        <v>3166</v>
      </c>
      <c r="I354" s="2" t="s">
        <v>79</v>
      </c>
      <c r="J354" s="2">
        <v>1590</v>
      </c>
      <c r="K354" s="2">
        <v>1.0480100000000001</v>
      </c>
      <c r="L354" s="2" t="s">
        <v>65</v>
      </c>
      <c r="M354" s="2" t="s">
        <v>75</v>
      </c>
      <c r="N354" s="2">
        <f t="shared" ca="1" si="15"/>
        <v>16</v>
      </c>
      <c r="O354" s="6">
        <f t="shared" ca="1" si="16"/>
        <v>45456</v>
      </c>
      <c r="P354" s="2">
        <f t="shared" ca="1" si="17"/>
        <v>1</v>
      </c>
    </row>
    <row r="355" spans="1:16" x14ac:dyDescent="0.35">
      <c r="A355" s="2" t="s">
        <v>38</v>
      </c>
      <c r="B355" s="2">
        <v>785973</v>
      </c>
      <c r="C355" s="2">
        <v>360</v>
      </c>
      <c r="D355" s="2">
        <v>2881320</v>
      </c>
      <c r="E355" s="2" t="s">
        <v>473</v>
      </c>
      <c r="F355" s="6" t="s">
        <v>116</v>
      </c>
      <c r="G355" s="6" t="s">
        <v>147</v>
      </c>
      <c r="H355" s="2">
        <v>47</v>
      </c>
      <c r="I355" s="2" t="s">
        <v>68</v>
      </c>
      <c r="J355" s="2">
        <v>28224</v>
      </c>
      <c r="K355" s="2">
        <v>1.0010399999999999</v>
      </c>
      <c r="L355" s="2" t="s">
        <v>65</v>
      </c>
      <c r="M355" s="2" t="s">
        <v>86</v>
      </c>
      <c r="N355" s="2">
        <f t="shared" ca="1" si="15"/>
        <v>17</v>
      </c>
      <c r="O355" s="6">
        <f t="shared" ca="1" si="16"/>
        <v>45456</v>
      </c>
      <c r="P355" s="2">
        <f t="shared" ca="1" si="17"/>
        <v>1</v>
      </c>
    </row>
    <row r="356" spans="1:16" x14ac:dyDescent="0.35">
      <c r="A356" s="2" t="s">
        <v>42</v>
      </c>
      <c r="B356" s="2">
        <v>785930</v>
      </c>
      <c r="C356" s="2">
        <v>360</v>
      </c>
      <c r="D356" s="2">
        <v>2881202</v>
      </c>
      <c r="E356" s="2" t="s">
        <v>150</v>
      </c>
      <c r="F356" s="6" t="s">
        <v>135</v>
      </c>
      <c r="G356" s="6" t="s">
        <v>147</v>
      </c>
      <c r="H356" s="2">
        <v>31348</v>
      </c>
      <c r="I356" s="2" t="s">
        <v>79</v>
      </c>
      <c r="J356" s="2">
        <v>650</v>
      </c>
      <c r="K356" s="2">
        <v>1.0580099999999999</v>
      </c>
      <c r="L356" s="2" t="s">
        <v>65</v>
      </c>
      <c r="M356" s="2" t="s">
        <v>469</v>
      </c>
      <c r="N356" s="2">
        <f t="shared" ca="1" si="15"/>
        <v>17</v>
      </c>
      <c r="O356" s="6">
        <f t="shared" ca="1" si="16"/>
        <v>45456</v>
      </c>
      <c r="P356" s="2">
        <f t="shared" ca="1" si="17"/>
        <v>1</v>
      </c>
    </row>
    <row r="357" spans="1:16" x14ac:dyDescent="0.35">
      <c r="A357" s="2" t="s">
        <v>42</v>
      </c>
      <c r="B357" s="2">
        <v>785913</v>
      </c>
      <c r="C357" s="2">
        <v>360</v>
      </c>
      <c r="D357" s="2">
        <v>2881120</v>
      </c>
      <c r="E357" s="2" t="s">
        <v>150</v>
      </c>
      <c r="F357" s="6" t="s">
        <v>135</v>
      </c>
      <c r="G357" s="6" t="s">
        <v>147</v>
      </c>
      <c r="H357" s="2">
        <v>31345</v>
      </c>
      <c r="I357" s="2" t="s">
        <v>79</v>
      </c>
      <c r="J357" s="2">
        <v>650</v>
      </c>
      <c r="K357" s="2">
        <v>1.08605</v>
      </c>
      <c r="L357" s="2" t="s">
        <v>65</v>
      </c>
      <c r="M357" s="2" t="s">
        <v>151</v>
      </c>
      <c r="N357" s="2">
        <f t="shared" ca="1" si="15"/>
        <v>17</v>
      </c>
      <c r="O357" s="6">
        <f t="shared" ca="1" si="16"/>
        <v>45456</v>
      </c>
      <c r="P357" s="2">
        <f t="shared" ca="1" si="17"/>
        <v>1</v>
      </c>
    </row>
    <row r="358" spans="1:16" x14ac:dyDescent="0.35">
      <c r="A358" s="2" t="s">
        <v>42</v>
      </c>
      <c r="B358" s="2">
        <v>785911</v>
      </c>
      <c r="C358" s="2">
        <v>360</v>
      </c>
      <c r="D358" s="2">
        <v>2881114</v>
      </c>
      <c r="E358" s="2" t="s">
        <v>150</v>
      </c>
      <c r="F358" s="6" t="s">
        <v>135</v>
      </c>
      <c r="G358" s="6" t="s">
        <v>147</v>
      </c>
      <c r="H358" s="2">
        <v>31344</v>
      </c>
      <c r="I358" s="2" t="s">
        <v>79</v>
      </c>
      <c r="J358" s="2">
        <v>650</v>
      </c>
      <c r="K358" s="2">
        <v>1.0860099999999999</v>
      </c>
      <c r="L358" s="2" t="s">
        <v>65</v>
      </c>
      <c r="M358" s="2" t="s">
        <v>151</v>
      </c>
      <c r="N358" s="2">
        <f t="shared" ca="1" si="15"/>
        <v>17</v>
      </c>
      <c r="O358" s="6">
        <f t="shared" ca="1" si="16"/>
        <v>45456</v>
      </c>
      <c r="P358" s="2">
        <f t="shared" ca="1" si="17"/>
        <v>1</v>
      </c>
    </row>
    <row r="359" spans="1:16" x14ac:dyDescent="0.35">
      <c r="A359" s="2" t="s">
        <v>36</v>
      </c>
      <c r="B359" s="2">
        <v>785905</v>
      </c>
      <c r="C359" s="2">
        <v>360</v>
      </c>
      <c r="D359" s="2">
        <v>2881390</v>
      </c>
      <c r="E359" s="2" t="s">
        <v>252</v>
      </c>
      <c r="F359" s="6" t="s">
        <v>116</v>
      </c>
      <c r="G359" s="6" t="s">
        <v>147</v>
      </c>
      <c r="H359" s="2">
        <v>6530</v>
      </c>
      <c r="I359" s="2" t="s">
        <v>100</v>
      </c>
      <c r="J359" s="2">
        <v>825</v>
      </c>
      <c r="K359" s="2">
        <v>1.1000099999999999</v>
      </c>
      <c r="L359" s="2" t="s">
        <v>65</v>
      </c>
      <c r="M359" s="2" t="s">
        <v>217</v>
      </c>
      <c r="N359" s="2">
        <f t="shared" ca="1" si="15"/>
        <v>17</v>
      </c>
      <c r="O359" s="6">
        <f t="shared" ca="1" si="16"/>
        <v>45456</v>
      </c>
      <c r="P359" s="2">
        <f t="shared" ca="1" si="17"/>
        <v>1</v>
      </c>
    </row>
    <row r="360" spans="1:16" x14ac:dyDescent="0.35">
      <c r="A360" s="2" t="s">
        <v>42</v>
      </c>
      <c r="B360" s="2">
        <v>785904</v>
      </c>
      <c r="C360" s="2">
        <v>360</v>
      </c>
      <c r="D360" s="2">
        <v>2881269</v>
      </c>
      <c r="E360" s="2" t="s">
        <v>150</v>
      </c>
      <c r="F360" s="6" t="s">
        <v>135</v>
      </c>
      <c r="G360" s="6" t="s">
        <v>147</v>
      </c>
      <c r="H360" s="2">
        <v>31341</v>
      </c>
      <c r="I360" s="2" t="s">
        <v>79</v>
      </c>
      <c r="J360" s="2">
        <v>650</v>
      </c>
      <c r="K360" s="2">
        <v>1.04101</v>
      </c>
      <c r="L360" s="2" t="s">
        <v>65</v>
      </c>
      <c r="M360" s="2" t="s">
        <v>443</v>
      </c>
      <c r="N360" s="2">
        <f t="shared" ca="1" si="15"/>
        <v>17</v>
      </c>
      <c r="O360" s="6">
        <f t="shared" ca="1" si="16"/>
        <v>45456</v>
      </c>
      <c r="P360" s="2">
        <f t="shared" ca="1" si="17"/>
        <v>1</v>
      </c>
    </row>
    <row r="361" spans="1:16" x14ac:dyDescent="0.35">
      <c r="A361" s="2" t="s">
        <v>42</v>
      </c>
      <c r="B361" s="2">
        <v>785902</v>
      </c>
      <c r="C361" s="2">
        <v>360</v>
      </c>
      <c r="D361" s="2">
        <v>2881267</v>
      </c>
      <c r="E361" s="2" t="s">
        <v>251</v>
      </c>
      <c r="F361" s="6" t="s">
        <v>116</v>
      </c>
      <c r="G361" s="6" t="s">
        <v>244</v>
      </c>
      <c r="H361" s="2">
        <v>6013</v>
      </c>
      <c r="I361" s="2" t="s">
        <v>79</v>
      </c>
      <c r="J361" s="2">
        <v>4032</v>
      </c>
      <c r="K361" s="2">
        <v>1.0010399999999999</v>
      </c>
      <c r="L361" s="2" t="s">
        <v>76</v>
      </c>
      <c r="M361" s="2" t="s">
        <v>86</v>
      </c>
      <c r="N361" s="2">
        <f t="shared" ca="1" si="15"/>
        <v>17</v>
      </c>
      <c r="O361" s="6">
        <f t="shared" ca="1" si="16"/>
        <v>45456</v>
      </c>
      <c r="P361" s="2">
        <f t="shared" ca="1" si="17"/>
        <v>1</v>
      </c>
    </row>
    <row r="362" spans="1:16" x14ac:dyDescent="0.35">
      <c r="A362" s="2" t="s">
        <v>36</v>
      </c>
      <c r="B362" s="2">
        <v>785901</v>
      </c>
      <c r="C362" s="2">
        <v>360</v>
      </c>
      <c r="D362" s="2">
        <v>2881212</v>
      </c>
      <c r="E362" s="2" t="s">
        <v>252</v>
      </c>
      <c r="F362" s="6" t="s">
        <v>116</v>
      </c>
      <c r="G362" s="6" t="s">
        <v>147</v>
      </c>
      <c r="H362" s="2">
        <v>6529</v>
      </c>
      <c r="I362" s="2" t="s">
        <v>79</v>
      </c>
      <c r="J362" s="2">
        <v>1100</v>
      </c>
      <c r="K362" s="2">
        <v>1.0220100000000001</v>
      </c>
      <c r="L362" s="2" t="s">
        <v>65</v>
      </c>
      <c r="M362" s="2" t="s">
        <v>149</v>
      </c>
      <c r="N362" s="2">
        <f t="shared" ca="1" si="15"/>
        <v>17</v>
      </c>
      <c r="O362" s="6">
        <f t="shared" ca="1" si="16"/>
        <v>45456</v>
      </c>
      <c r="P362" s="2">
        <f t="shared" ca="1" si="17"/>
        <v>1</v>
      </c>
    </row>
    <row r="363" spans="1:16" x14ac:dyDescent="0.35">
      <c r="A363" s="2" t="s">
        <v>42</v>
      </c>
      <c r="B363" s="2">
        <v>785900</v>
      </c>
      <c r="C363" s="2">
        <v>360</v>
      </c>
      <c r="D363" s="2">
        <v>2881026</v>
      </c>
      <c r="E363" s="2" t="s">
        <v>150</v>
      </c>
      <c r="F363" s="6" t="s">
        <v>135</v>
      </c>
      <c r="G363" s="6" t="s">
        <v>147</v>
      </c>
      <c r="H363" s="2">
        <v>31340</v>
      </c>
      <c r="I363" s="2" t="s">
        <v>79</v>
      </c>
      <c r="J363" s="2">
        <v>650</v>
      </c>
      <c r="K363" s="2">
        <v>1.04101</v>
      </c>
      <c r="L363" s="2" t="s">
        <v>65</v>
      </c>
      <c r="M363" s="2" t="s">
        <v>443</v>
      </c>
      <c r="N363" s="2">
        <f t="shared" ca="1" si="15"/>
        <v>17</v>
      </c>
      <c r="O363" s="6">
        <f t="shared" ca="1" si="16"/>
        <v>45456</v>
      </c>
      <c r="P363" s="2">
        <f t="shared" ca="1" si="17"/>
        <v>1</v>
      </c>
    </row>
    <row r="364" spans="1:16" x14ac:dyDescent="0.35">
      <c r="A364" s="2" t="s">
        <v>40</v>
      </c>
      <c r="B364" s="2">
        <v>785842</v>
      </c>
      <c r="C364" s="2">
        <v>360</v>
      </c>
      <c r="D364" s="2">
        <v>2880390</v>
      </c>
      <c r="E364" s="2" t="s">
        <v>253</v>
      </c>
      <c r="F364" s="6" t="s">
        <v>129</v>
      </c>
      <c r="G364" s="6" t="s">
        <v>237</v>
      </c>
      <c r="H364" s="2">
        <v>10830</v>
      </c>
      <c r="I364" s="2" t="s">
        <v>68</v>
      </c>
      <c r="J364" s="2">
        <v>6178.73</v>
      </c>
      <c r="K364" s="2">
        <v>1.0010399999999999</v>
      </c>
      <c r="L364" s="2" t="s">
        <v>65</v>
      </c>
      <c r="M364" s="2" t="s">
        <v>86</v>
      </c>
      <c r="N364" s="2">
        <f t="shared" ca="1" si="15"/>
        <v>16</v>
      </c>
      <c r="O364" s="6">
        <f t="shared" ca="1" si="16"/>
        <v>45456</v>
      </c>
      <c r="P364" s="2">
        <f t="shared" ca="1" si="17"/>
        <v>1</v>
      </c>
    </row>
    <row r="365" spans="1:16" x14ac:dyDescent="0.35">
      <c r="A365" s="2" t="s">
        <v>40</v>
      </c>
      <c r="B365" s="2">
        <v>785841</v>
      </c>
      <c r="C365" s="2">
        <v>360</v>
      </c>
      <c r="D365" s="2">
        <v>2880583</v>
      </c>
      <c r="E365" s="2" t="s">
        <v>253</v>
      </c>
      <c r="F365" s="6" t="s">
        <v>129</v>
      </c>
      <c r="G365" s="6" t="s">
        <v>237</v>
      </c>
      <c r="H365" s="2">
        <v>10829</v>
      </c>
      <c r="I365" s="2" t="s">
        <v>68</v>
      </c>
      <c r="J365" s="2">
        <v>5014.18</v>
      </c>
      <c r="K365" s="2">
        <v>1.0010399999999999</v>
      </c>
      <c r="L365" s="2" t="s">
        <v>65</v>
      </c>
      <c r="M365" s="2" t="s">
        <v>86</v>
      </c>
      <c r="N365" s="2">
        <f t="shared" ca="1" si="15"/>
        <v>16</v>
      </c>
      <c r="O365" s="6">
        <f t="shared" ca="1" si="16"/>
        <v>45456</v>
      </c>
      <c r="P365" s="2">
        <f t="shared" ca="1" si="17"/>
        <v>1</v>
      </c>
    </row>
    <row r="366" spans="1:16" x14ac:dyDescent="0.35">
      <c r="A366" s="2" t="s">
        <v>40</v>
      </c>
      <c r="B366" s="2">
        <v>785762</v>
      </c>
      <c r="C366" s="2">
        <v>360</v>
      </c>
      <c r="D366" s="2">
        <v>2879749</v>
      </c>
      <c r="E366" s="2" t="s">
        <v>638</v>
      </c>
      <c r="F366" s="6" t="s">
        <v>129</v>
      </c>
      <c r="G366" s="6" t="s">
        <v>147</v>
      </c>
      <c r="H366" s="2">
        <v>19705</v>
      </c>
      <c r="I366" s="2" t="s">
        <v>68</v>
      </c>
      <c r="J366" s="2">
        <v>140</v>
      </c>
      <c r="K366" s="2">
        <v>1.0010699999999999</v>
      </c>
      <c r="L366" s="2" t="s">
        <v>76</v>
      </c>
      <c r="M366" s="2" t="s">
        <v>155</v>
      </c>
      <c r="N366" s="2">
        <f t="shared" ca="1" si="15"/>
        <v>17</v>
      </c>
      <c r="O366" s="6">
        <f t="shared" ca="1" si="16"/>
        <v>45456</v>
      </c>
      <c r="P366" s="2">
        <f t="shared" ca="1" si="17"/>
        <v>1</v>
      </c>
    </row>
    <row r="367" spans="1:16" x14ac:dyDescent="0.35">
      <c r="A367" s="2" t="s">
        <v>38</v>
      </c>
      <c r="B367" s="2">
        <v>785699</v>
      </c>
      <c r="C367" s="2">
        <v>360</v>
      </c>
      <c r="D367" s="2">
        <v>2891307</v>
      </c>
      <c r="E367" s="2" t="s">
        <v>647</v>
      </c>
      <c r="F367" s="6" t="s">
        <v>129</v>
      </c>
      <c r="G367" s="6" t="s">
        <v>147</v>
      </c>
      <c r="H367" s="2">
        <v>1731745</v>
      </c>
      <c r="I367" s="2" t="s">
        <v>79</v>
      </c>
      <c r="J367" s="2">
        <v>506.25</v>
      </c>
      <c r="K367" s="2">
        <v>1.0740099999999999</v>
      </c>
      <c r="L367" s="2" t="s">
        <v>76</v>
      </c>
      <c r="M367" s="2" t="s">
        <v>105</v>
      </c>
      <c r="N367" s="2">
        <f t="shared" ca="1" si="15"/>
        <v>17</v>
      </c>
      <c r="O367" s="6">
        <f t="shared" ca="1" si="16"/>
        <v>45456</v>
      </c>
      <c r="P367" s="2">
        <f t="shared" ca="1" si="17"/>
        <v>1</v>
      </c>
    </row>
    <row r="368" spans="1:16" x14ac:dyDescent="0.35">
      <c r="A368" s="2" t="s">
        <v>36</v>
      </c>
      <c r="B368" s="2">
        <v>785682</v>
      </c>
      <c r="C368" s="2">
        <v>360</v>
      </c>
      <c r="D368" s="2">
        <v>2891809</v>
      </c>
      <c r="E368" s="2" t="s">
        <v>648</v>
      </c>
      <c r="F368" s="6" t="s">
        <v>129</v>
      </c>
      <c r="G368" s="6" t="s">
        <v>147</v>
      </c>
      <c r="H368" s="2">
        <v>8459</v>
      </c>
      <c r="I368" s="2" t="s">
        <v>79</v>
      </c>
      <c r="J368" s="2">
        <v>645</v>
      </c>
      <c r="K368" s="2">
        <v>1.0740099999999999</v>
      </c>
      <c r="L368" s="2" t="s">
        <v>76</v>
      </c>
      <c r="M368" s="2" t="s">
        <v>105</v>
      </c>
      <c r="N368" s="2">
        <f t="shared" ca="1" si="15"/>
        <v>17</v>
      </c>
      <c r="O368" s="6">
        <f t="shared" ca="1" si="16"/>
        <v>45456</v>
      </c>
      <c r="P368" s="2">
        <f t="shared" ca="1" si="17"/>
        <v>1</v>
      </c>
    </row>
    <row r="369" spans="1:16" x14ac:dyDescent="0.35">
      <c r="A369" s="2" t="s">
        <v>42</v>
      </c>
      <c r="B369" s="2">
        <v>785673</v>
      </c>
      <c r="C369" s="2">
        <v>360</v>
      </c>
      <c r="D369" s="2">
        <v>2879729</v>
      </c>
      <c r="E369" s="2" t="s">
        <v>103</v>
      </c>
      <c r="F369" s="6" t="s">
        <v>129</v>
      </c>
      <c r="G369" s="6" t="s">
        <v>147</v>
      </c>
      <c r="H369" s="2">
        <v>10349</v>
      </c>
      <c r="I369" s="2" t="s">
        <v>68</v>
      </c>
      <c r="J369" s="2">
        <v>22742.7</v>
      </c>
      <c r="K369" s="2">
        <v>1.0740099999999999</v>
      </c>
      <c r="L369" s="2" t="s">
        <v>76</v>
      </c>
      <c r="M369" s="2" t="s">
        <v>105</v>
      </c>
      <c r="N369" s="2">
        <f t="shared" ca="1" si="15"/>
        <v>17</v>
      </c>
      <c r="O369" s="6">
        <f t="shared" ca="1" si="16"/>
        <v>45456</v>
      </c>
      <c r="P369" s="2">
        <f t="shared" ca="1" si="17"/>
        <v>1</v>
      </c>
    </row>
    <row r="370" spans="1:16" x14ac:dyDescent="0.35">
      <c r="A370" s="2" t="s">
        <v>38</v>
      </c>
      <c r="B370" s="2">
        <v>785255</v>
      </c>
      <c r="C370" s="2">
        <v>360</v>
      </c>
      <c r="D370" s="2">
        <v>2879680</v>
      </c>
      <c r="E370" s="2" t="s">
        <v>118</v>
      </c>
      <c r="F370" s="6" t="s">
        <v>129</v>
      </c>
      <c r="G370" s="6" t="s">
        <v>152</v>
      </c>
      <c r="H370" s="2">
        <v>415045</v>
      </c>
      <c r="I370" s="2" t="s">
        <v>416</v>
      </c>
      <c r="J370" s="2">
        <v>978.53</v>
      </c>
      <c r="K370" s="2">
        <v>1.02901</v>
      </c>
      <c r="L370" s="2" t="s">
        <v>76</v>
      </c>
      <c r="M370" s="2" t="s">
        <v>119</v>
      </c>
      <c r="N370" s="2">
        <f t="shared" ca="1" si="15"/>
        <v>15</v>
      </c>
      <c r="O370" s="6">
        <f t="shared" ca="1" si="16"/>
        <v>45456</v>
      </c>
      <c r="P370" s="2">
        <f t="shared" ca="1" si="17"/>
        <v>1</v>
      </c>
    </row>
    <row r="371" spans="1:16" x14ac:dyDescent="0.35">
      <c r="A371" s="2" t="s">
        <v>38</v>
      </c>
      <c r="B371" s="2">
        <v>784783</v>
      </c>
      <c r="C371" s="2">
        <v>360</v>
      </c>
      <c r="D371" s="2">
        <v>2879659</v>
      </c>
      <c r="E371" s="2" t="s">
        <v>245</v>
      </c>
      <c r="F371" s="6" t="s">
        <v>129</v>
      </c>
      <c r="G371" s="6" t="s">
        <v>230</v>
      </c>
      <c r="H371" s="2">
        <v>6930970</v>
      </c>
      <c r="I371" s="2" t="s">
        <v>79</v>
      </c>
      <c r="J371" s="2">
        <v>4811.7</v>
      </c>
      <c r="K371" s="2">
        <v>1.0100100000000001</v>
      </c>
      <c r="L371" s="2" t="s">
        <v>76</v>
      </c>
      <c r="M371" s="2" t="s">
        <v>69</v>
      </c>
      <c r="N371" s="2">
        <f t="shared" ca="1" si="15"/>
        <v>14</v>
      </c>
      <c r="O371" s="6">
        <f t="shared" ca="1" si="16"/>
        <v>45456</v>
      </c>
      <c r="P371" s="2">
        <f t="shared" ca="1" si="17"/>
        <v>1</v>
      </c>
    </row>
    <row r="372" spans="1:16" x14ac:dyDescent="0.35">
      <c r="A372" s="2" t="s">
        <v>38</v>
      </c>
      <c r="B372" s="2">
        <v>784691</v>
      </c>
      <c r="C372" s="2">
        <v>360</v>
      </c>
      <c r="D372" s="2">
        <v>2879524</v>
      </c>
      <c r="E372" s="2" t="s">
        <v>215</v>
      </c>
      <c r="F372" s="6" t="s">
        <v>129</v>
      </c>
      <c r="G372" s="6" t="s">
        <v>237</v>
      </c>
      <c r="H372" s="2">
        <v>5244</v>
      </c>
      <c r="I372" s="2" t="s">
        <v>68</v>
      </c>
      <c r="J372" s="2">
        <v>33947.11</v>
      </c>
      <c r="K372" s="2">
        <v>1.1020099999999999</v>
      </c>
      <c r="L372" s="2" t="s">
        <v>65</v>
      </c>
      <c r="M372" s="2" t="s">
        <v>161</v>
      </c>
      <c r="N372" s="2">
        <f t="shared" ca="1" si="15"/>
        <v>16</v>
      </c>
      <c r="O372" s="6">
        <f t="shared" ca="1" si="16"/>
        <v>45456</v>
      </c>
      <c r="P372" s="2">
        <f t="shared" ca="1" si="17"/>
        <v>1</v>
      </c>
    </row>
    <row r="373" spans="1:16" x14ac:dyDescent="0.35">
      <c r="A373" s="2" t="s">
        <v>40</v>
      </c>
      <c r="B373" s="2">
        <v>784663</v>
      </c>
      <c r="C373" s="2">
        <v>360</v>
      </c>
      <c r="D373" s="2">
        <v>2879393</v>
      </c>
      <c r="E373" s="2" t="s">
        <v>474</v>
      </c>
      <c r="F373" s="6" t="s">
        <v>129</v>
      </c>
      <c r="G373" s="6" t="s">
        <v>255</v>
      </c>
      <c r="H373" s="2">
        <v>13033</v>
      </c>
      <c r="I373" s="2" t="s">
        <v>68</v>
      </c>
      <c r="J373" s="2">
        <v>704.45</v>
      </c>
      <c r="K373" s="2">
        <v>1.01502</v>
      </c>
      <c r="L373" s="2" t="s">
        <v>65</v>
      </c>
      <c r="M373" s="2" t="s">
        <v>475</v>
      </c>
      <c r="N373" s="2">
        <f t="shared" ca="1" si="15"/>
        <v>23</v>
      </c>
      <c r="O373" s="6">
        <f t="shared" ca="1" si="16"/>
        <v>45456</v>
      </c>
      <c r="P373" s="2">
        <f t="shared" ca="1" si="17"/>
        <v>1</v>
      </c>
    </row>
    <row r="374" spans="1:16" x14ac:dyDescent="0.35">
      <c r="A374" s="2" t="s">
        <v>38</v>
      </c>
      <c r="B374" s="2">
        <v>784657</v>
      </c>
      <c r="C374" s="2">
        <v>360</v>
      </c>
      <c r="D374" s="2">
        <v>2879171</v>
      </c>
      <c r="E374" s="2" t="s">
        <v>649</v>
      </c>
      <c r="F374" s="6" t="s">
        <v>129</v>
      </c>
      <c r="G374" s="6" t="s">
        <v>650</v>
      </c>
      <c r="H374" s="2">
        <v>7508</v>
      </c>
      <c r="I374" s="2" t="s">
        <v>79</v>
      </c>
      <c r="J374" s="2">
        <v>1218.4100000000001</v>
      </c>
      <c r="K374" s="2">
        <v>1.01501</v>
      </c>
      <c r="L374" s="2" t="s">
        <v>65</v>
      </c>
      <c r="M374" s="2" t="s">
        <v>475</v>
      </c>
      <c r="N374" s="2">
        <f t="shared" ca="1" si="15"/>
        <v>38</v>
      </c>
      <c r="O374" s="6">
        <f t="shared" ca="1" si="16"/>
        <v>45456</v>
      </c>
      <c r="P374" s="2">
        <f t="shared" ca="1" si="17"/>
        <v>1</v>
      </c>
    </row>
    <row r="375" spans="1:16" x14ac:dyDescent="0.35">
      <c r="A375" s="2" t="s">
        <v>40</v>
      </c>
      <c r="B375" s="2">
        <v>784596</v>
      </c>
      <c r="C375" s="2">
        <v>360</v>
      </c>
      <c r="D375" s="2">
        <v>2879020</v>
      </c>
      <c r="E375" s="2" t="s">
        <v>254</v>
      </c>
      <c r="F375" s="6" t="s">
        <v>129</v>
      </c>
      <c r="G375" s="6" t="s">
        <v>224</v>
      </c>
      <c r="H375" s="2">
        <v>1924</v>
      </c>
      <c r="I375" s="2" t="s">
        <v>79</v>
      </c>
      <c r="J375" s="2">
        <v>250</v>
      </c>
      <c r="K375" s="2">
        <v>1.04901</v>
      </c>
      <c r="L375" s="2" t="s">
        <v>65</v>
      </c>
      <c r="M375" s="2" t="s">
        <v>146</v>
      </c>
      <c r="N375" s="2">
        <f t="shared" ca="1" si="15"/>
        <v>20</v>
      </c>
      <c r="O375" s="6">
        <f t="shared" ca="1" si="16"/>
        <v>45456</v>
      </c>
      <c r="P375" s="2">
        <f t="shared" ca="1" si="17"/>
        <v>1</v>
      </c>
    </row>
    <row r="376" spans="1:16" x14ac:dyDescent="0.35">
      <c r="A376" s="2" t="s">
        <v>40</v>
      </c>
      <c r="B376" s="2">
        <v>784595</v>
      </c>
      <c r="C376" s="2">
        <v>360</v>
      </c>
      <c r="D376" s="2">
        <v>2879009</v>
      </c>
      <c r="E376" s="2" t="s">
        <v>254</v>
      </c>
      <c r="F376" s="6" t="s">
        <v>129</v>
      </c>
      <c r="G376" s="6" t="s">
        <v>224</v>
      </c>
      <c r="H376" s="2">
        <v>1923</v>
      </c>
      <c r="I376" s="2" t="s">
        <v>79</v>
      </c>
      <c r="J376" s="2">
        <v>550</v>
      </c>
      <c r="K376" s="2">
        <v>1.04901</v>
      </c>
      <c r="L376" s="2" t="s">
        <v>65</v>
      </c>
      <c r="M376" s="2" t="s">
        <v>146</v>
      </c>
      <c r="N376" s="2">
        <f t="shared" ca="1" si="15"/>
        <v>20</v>
      </c>
      <c r="O376" s="6">
        <f t="shared" ca="1" si="16"/>
        <v>45456</v>
      </c>
      <c r="P376" s="2">
        <f t="shared" ca="1" si="17"/>
        <v>1</v>
      </c>
    </row>
    <row r="377" spans="1:16" x14ac:dyDescent="0.35">
      <c r="A377" s="2" t="s">
        <v>36</v>
      </c>
      <c r="B377" s="2">
        <v>784492</v>
      </c>
      <c r="C377" s="2">
        <v>360</v>
      </c>
      <c r="D377" s="2">
        <v>2877974</v>
      </c>
      <c r="E377" s="2" t="s">
        <v>476</v>
      </c>
      <c r="F377" s="6" t="s">
        <v>129</v>
      </c>
      <c r="G377" s="6" t="s">
        <v>224</v>
      </c>
      <c r="H377" s="2">
        <v>133</v>
      </c>
      <c r="I377" s="2" t="s">
        <v>79</v>
      </c>
      <c r="J377" s="2">
        <v>1000</v>
      </c>
      <c r="K377" s="2">
        <v>1.04901</v>
      </c>
      <c r="L377" s="2" t="s">
        <v>65</v>
      </c>
      <c r="M377" s="2" t="s">
        <v>146</v>
      </c>
      <c r="N377" s="2">
        <f t="shared" ca="1" si="15"/>
        <v>20</v>
      </c>
      <c r="O377" s="6">
        <f t="shared" ca="1" si="16"/>
        <v>45456</v>
      </c>
      <c r="P377" s="2">
        <f t="shared" ca="1" si="17"/>
        <v>1</v>
      </c>
    </row>
    <row r="378" spans="1:16" x14ac:dyDescent="0.35">
      <c r="A378" s="2" t="s">
        <v>36</v>
      </c>
      <c r="B378" s="2">
        <v>784488</v>
      </c>
      <c r="C378" s="2">
        <v>360</v>
      </c>
      <c r="D378" s="2">
        <v>2877975</v>
      </c>
      <c r="E378" s="2" t="s">
        <v>476</v>
      </c>
      <c r="F378" s="6" t="s">
        <v>129</v>
      </c>
      <c r="G378" s="6" t="s">
        <v>224</v>
      </c>
      <c r="H378" s="2">
        <v>132</v>
      </c>
      <c r="I378" s="2" t="s">
        <v>79</v>
      </c>
      <c r="J378" s="2">
        <v>2200</v>
      </c>
      <c r="K378" s="2">
        <v>1.04901</v>
      </c>
      <c r="L378" s="2" t="s">
        <v>65</v>
      </c>
      <c r="M378" s="2" t="s">
        <v>146</v>
      </c>
      <c r="N378" s="2">
        <f t="shared" ca="1" si="15"/>
        <v>20</v>
      </c>
      <c r="O378" s="6">
        <f t="shared" ca="1" si="16"/>
        <v>45456</v>
      </c>
      <c r="P378" s="2">
        <f t="shared" ca="1" si="17"/>
        <v>1</v>
      </c>
    </row>
    <row r="379" spans="1:16" x14ac:dyDescent="0.35">
      <c r="A379" s="2" t="s">
        <v>42</v>
      </c>
      <c r="B379" s="2">
        <v>784473</v>
      </c>
      <c r="C379" s="2">
        <v>360</v>
      </c>
      <c r="D379" s="2">
        <v>2877932</v>
      </c>
      <c r="E379" s="2" t="s">
        <v>256</v>
      </c>
      <c r="F379" s="6" t="s">
        <v>139</v>
      </c>
      <c r="G379" s="6" t="s">
        <v>237</v>
      </c>
      <c r="H379" s="2">
        <v>105619</v>
      </c>
      <c r="I379" s="2" t="s">
        <v>68</v>
      </c>
      <c r="J379" s="2">
        <v>87897.7</v>
      </c>
      <c r="K379" s="2">
        <v>1.07301</v>
      </c>
      <c r="L379" s="2" t="s">
        <v>65</v>
      </c>
      <c r="M379" s="2" t="s">
        <v>80</v>
      </c>
      <c r="N379" s="2">
        <f t="shared" ca="1" si="15"/>
        <v>16</v>
      </c>
      <c r="O379" s="6">
        <f t="shared" ca="1" si="16"/>
        <v>45456</v>
      </c>
      <c r="P379" s="2">
        <f t="shared" ca="1" si="17"/>
        <v>1</v>
      </c>
    </row>
    <row r="380" spans="1:16" x14ac:dyDescent="0.35">
      <c r="A380" s="2" t="s">
        <v>40</v>
      </c>
      <c r="B380" s="2">
        <v>784431</v>
      </c>
      <c r="C380" s="2">
        <v>360</v>
      </c>
      <c r="D380" s="2">
        <v>2877440</v>
      </c>
      <c r="E380" s="2" t="s">
        <v>651</v>
      </c>
      <c r="F380" s="6" t="s">
        <v>135</v>
      </c>
      <c r="G380" s="6" t="s">
        <v>263</v>
      </c>
      <c r="H380" s="2">
        <v>20241479</v>
      </c>
      <c r="I380" s="2" t="s">
        <v>79</v>
      </c>
      <c r="J380" s="2">
        <v>2792</v>
      </c>
      <c r="K380" s="2">
        <v>1.0540099999999999</v>
      </c>
      <c r="L380" s="2" t="s">
        <v>65</v>
      </c>
      <c r="M380" s="2" t="s">
        <v>121</v>
      </c>
      <c r="N380" s="2">
        <f t="shared" ca="1" si="15"/>
        <v>26</v>
      </c>
      <c r="O380" s="6">
        <f t="shared" ca="1" si="16"/>
        <v>45456</v>
      </c>
      <c r="P380" s="2">
        <f t="shared" ca="1" si="17"/>
        <v>1</v>
      </c>
    </row>
    <row r="381" spans="1:16" x14ac:dyDescent="0.35">
      <c r="A381" s="2" t="s">
        <v>38</v>
      </c>
      <c r="B381" s="2">
        <v>784380</v>
      </c>
      <c r="C381" s="2">
        <v>360</v>
      </c>
      <c r="D381" s="2">
        <v>2876998</v>
      </c>
      <c r="E381" s="2" t="s">
        <v>257</v>
      </c>
      <c r="F381" s="6" t="s">
        <v>139</v>
      </c>
      <c r="G381" s="6" t="s">
        <v>237</v>
      </c>
      <c r="H381" s="2">
        <v>50852</v>
      </c>
      <c r="I381" s="2" t="s">
        <v>79</v>
      </c>
      <c r="J381" s="2">
        <v>4304</v>
      </c>
      <c r="K381" s="2">
        <v>1.0010399999999999</v>
      </c>
      <c r="L381" s="2" t="s">
        <v>65</v>
      </c>
      <c r="M381" s="2" t="s">
        <v>86</v>
      </c>
      <c r="N381" s="2">
        <f t="shared" ca="1" si="15"/>
        <v>16</v>
      </c>
      <c r="O381" s="6">
        <f t="shared" ca="1" si="16"/>
        <v>45456</v>
      </c>
      <c r="P381" s="2">
        <f t="shared" ca="1" si="17"/>
        <v>1</v>
      </c>
    </row>
    <row r="382" spans="1:16" x14ac:dyDescent="0.35">
      <c r="A382" s="2" t="s">
        <v>36</v>
      </c>
      <c r="B382" s="2">
        <v>784136</v>
      </c>
      <c r="C382" s="2">
        <v>360</v>
      </c>
      <c r="D382" s="2">
        <v>2876694</v>
      </c>
      <c r="E382" s="2" t="s">
        <v>652</v>
      </c>
      <c r="F382" s="6" t="s">
        <v>139</v>
      </c>
      <c r="G382" s="6" t="s">
        <v>237</v>
      </c>
      <c r="H382" s="2">
        <v>68941</v>
      </c>
      <c r="I382" s="2" t="s">
        <v>79</v>
      </c>
      <c r="J382" s="2">
        <v>2758.5</v>
      </c>
      <c r="K382" s="2">
        <v>1.09101</v>
      </c>
      <c r="L382" s="2" t="s">
        <v>76</v>
      </c>
      <c r="M382" s="2" t="s">
        <v>138</v>
      </c>
      <c r="N382" s="2">
        <f t="shared" ca="1" si="15"/>
        <v>16</v>
      </c>
      <c r="O382" s="6">
        <f t="shared" ca="1" si="16"/>
        <v>45456</v>
      </c>
      <c r="P382" s="2">
        <f t="shared" ca="1" si="17"/>
        <v>1</v>
      </c>
    </row>
    <row r="383" spans="1:16" x14ac:dyDescent="0.35">
      <c r="A383" s="2" t="s">
        <v>38</v>
      </c>
      <c r="B383" s="2">
        <v>783409</v>
      </c>
      <c r="C383" s="2">
        <v>360</v>
      </c>
      <c r="D383" s="2">
        <v>2876613</v>
      </c>
      <c r="E383" s="2" t="s">
        <v>118</v>
      </c>
      <c r="F383" s="6" t="s">
        <v>139</v>
      </c>
      <c r="G383" s="6" t="s">
        <v>230</v>
      </c>
      <c r="H383" s="2">
        <v>414914</v>
      </c>
      <c r="I383" s="2" t="s">
        <v>416</v>
      </c>
      <c r="J383" s="2">
        <v>765.9</v>
      </c>
      <c r="K383" s="2">
        <v>1.02901</v>
      </c>
      <c r="L383" s="2" t="s">
        <v>76</v>
      </c>
      <c r="M383" s="2" t="s">
        <v>119</v>
      </c>
      <c r="N383" s="2">
        <f t="shared" ca="1" si="15"/>
        <v>14</v>
      </c>
      <c r="O383" s="6">
        <f t="shared" ca="1" si="16"/>
        <v>45456</v>
      </c>
      <c r="P383" s="2">
        <f t="shared" ca="1" si="17"/>
        <v>1</v>
      </c>
    </row>
    <row r="384" spans="1:16" x14ac:dyDescent="0.35">
      <c r="A384" s="2" t="s">
        <v>42</v>
      </c>
      <c r="B384" s="2">
        <v>783300</v>
      </c>
      <c r="C384" s="2">
        <v>360</v>
      </c>
      <c r="D384" s="2">
        <v>2876590</v>
      </c>
      <c r="E384" s="2" t="s">
        <v>653</v>
      </c>
      <c r="F384" s="6" t="s">
        <v>139</v>
      </c>
      <c r="G384" s="6" t="s">
        <v>237</v>
      </c>
      <c r="H384" s="2">
        <v>4515569</v>
      </c>
      <c r="I384" s="2" t="s">
        <v>79</v>
      </c>
      <c r="J384" s="2">
        <v>1000</v>
      </c>
      <c r="K384" s="2">
        <v>1.0010399999999999</v>
      </c>
      <c r="L384" s="2" t="s">
        <v>76</v>
      </c>
      <c r="M384" s="2" t="s">
        <v>86</v>
      </c>
      <c r="N384" s="2">
        <f t="shared" ca="1" si="15"/>
        <v>16</v>
      </c>
      <c r="O384" s="6">
        <f t="shared" ca="1" si="16"/>
        <v>45456</v>
      </c>
      <c r="P384" s="2">
        <f t="shared" ca="1" si="17"/>
        <v>1</v>
      </c>
    </row>
    <row r="385" spans="1:16" x14ac:dyDescent="0.35">
      <c r="A385" s="2" t="s">
        <v>40</v>
      </c>
      <c r="B385" s="2">
        <v>783170</v>
      </c>
      <c r="C385" s="2">
        <v>360</v>
      </c>
      <c r="D385" s="2">
        <v>2876157</v>
      </c>
      <c r="E385" s="2" t="s">
        <v>644</v>
      </c>
      <c r="F385" s="6" t="s">
        <v>139</v>
      </c>
      <c r="G385" s="6" t="s">
        <v>237</v>
      </c>
      <c r="H385" s="2">
        <v>1570</v>
      </c>
      <c r="I385" s="2" t="s">
        <v>79</v>
      </c>
      <c r="J385" s="2">
        <v>667</v>
      </c>
      <c r="K385" s="2">
        <v>1.0860399999999999</v>
      </c>
      <c r="L385" s="2" t="s">
        <v>76</v>
      </c>
      <c r="M385" s="2" t="s">
        <v>151</v>
      </c>
      <c r="N385" s="2">
        <f t="shared" ca="1" si="15"/>
        <v>16</v>
      </c>
      <c r="O385" s="6">
        <f t="shared" ca="1" si="16"/>
        <v>45456</v>
      </c>
      <c r="P385" s="2">
        <f t="shared" ca="1" si="17"/>
        <v>1</v>
      </c>
    </row>
    <row r="386" spans="1:16" x14ac:dyDescent="0.35">
      <c r="A386" s="2" t="s">
        <v>40</v>
      </c>
      <c r="B386" s="2">
        <v>783166</v>
      </c>
      <c r="C386" s="2">
        <v>360</v>
      </c>
      <c r="D386" s="2">
        <v>2876353</v>
      </c>
      <c r="E386" s="2" t="s">
        <v>258</v>
      </c>
      <c r="F386" s="6" t="s">
        <v>135</v>
      </c>
      <c r="G386" s="6" t="s">
        <v>230</v>
      </c>
      <c r="H386" s="2">
        <v>2024126</v>
      </c>
      <c r="I386" s="2" t="s">
        <v>68</v>
      </c>
      <c r="J386" s="2">
        <v>3310.11</v>
      </c>
      <c r="K386" s="2">
        <v>1.00301</v>
      </c>
      <c r="L386" s="2" t="s">
        <v>65</v>
      </c>
      <c r="M386" s="2" t="s">
        <v>259</v>
      </c>
      <c r="N386" s="2">
        <f t="shared" ca="1" si="15"/>
        <v>14</v>
      </c>
      <c r="O386" s="6">
        <f t="shared" ca="1" si="16"/>
        <v>45456</v>
      </c>
      <c r="P386" s="2">
        <f t="shared" ca="1" si="17"/>
        <v>1</v>
      </c>
    </row>
    <row r="387" spans="1:16" x14ac:dyDescent="0.35">
      <c r="A387" s="2" t="s">
        <v>40</v>
      </c>
      <c r="B387" s="2">
        <v>783165</v>
      </c>
      <c r="C387" s="2">
        <v>360</v>
      </c>
      <c r="D387" s="2">
        <v>2876303</v>
      </c>
      <c r="E387" s="2" t="s">
        <v>258</v>
      </c>
      <c r="F387" s="6" t="s">
        <v>135</v>
      </c>
      <c r="G387" s="6" t="s">
        <v>230</v>
      </c>
      <c r="H387" s="2">
        <v>2024125</v>
      </c>
      <c r="I387" s="2" t="s">
        <v>68</v>
      </c>
      <c r="J387" s="2">
        <v>2083.33</v>
      </c>
      <c r="K387" s="2">
        <v>1.05701</v>
      </c>
      <c r="L387" s="2" t="s">
        <v>65</v>
      </c>
      <c r="M387" s="2" t="s">
        <v>203</v>
      </c>
      <c r="N387" s="2">
        <f t="shared" ref="N387:N450" ca="1" si="18">IF(G387 &lt; TODAY(), -NETWORKDAYS(G387, TODAY()), NETWORKDAYS(TODAY(), G387))</f>
        <v>14</v>
      </c>
      <c r="O387" s="6">
        <f t="shared" ref="O387:O450" ca="1" si="19">TODAY()</f>
        <v>45456</v>
      </c>
      <c r="P387" s="2">
        <f t="shared" ref="P387:P450" ca="1" si="20">NETWORKDAYS(O387,TODAY())</f>
        <v>1</v>
      </c>
    </row>
    <row r="388" spans="1:16" x14ac:dyDescent="0.35">
      <c r="A388" s="2" t="s">
        <v>40</v>
      </c>
      <c r="B388" s="2">
        <v>783164</v>
      </c>
      <c r="C388" s="2">
        <v>360</v>
      </c>
      <c r="D388" s="2">
        <v>2876028</v>
      </c>
      <c r="E388" s="2" t="s">
        <v>258</v>
      </c>
      <c r="F388" s="6" t="s">
        <v>135</v>
      </c>
      <c r="G388" s="6" t="s">
        <v>230</v>
      </c>
      <c r="H388" s="2">
        <v>2024124</v>
      </c>
      <c r="I388" s="2" t="s">
        <v>68</v>
      </c>
      <c r="J388" s="2">
        <v>2206.7199999999998</v>
      </c>
      <c r="K388" s="2">
        <v>1.0340100000000001</v>
      </c>
      <c r="L388" s="2" t="s">
        <v>65</v>
      </c>
      <c r="M388" s="2" t="s">
        <v>159</v>
      </c>
      <c r="N388" s="2">
        <f t="shared" ca="1" si="18"/>
        <v>14</v>
      </c>
      <c r="O388" s="6">
        <f t="shared" ca="1" si="19"/>
        <v>45456</v>
      </c>
      <c r="P388" s="2">
        <f t="shared" ca="1" si="20"/>
        <v>1</v>
      </c>
    </row>
    <row r="389" spans="1:16" x14ac:dyDescent="0.35">
      <c r="A389" s="2" t="s">
        <v>40</v>
      </c>
      <c r="B389" s="2">
        <v>783163</v>
      </c>
      <c r="C389" s="2">
        <v>360</v>
      </c>
      <c r="D389" s="2">
        <v>2876305</v>
      </c>
      <c r="E389" s="2" t="s">
        <v>258</v>
      </c>
      <c r="F389" s="6" t="s">
        <v>135</v>
      </c>
      <c r="G389" s="6" t="s">
        <v>230</v>
      </c>
      <c r="H389" s="2">
        <v>2024123</v>
      </c>
      <c r="I389" s="2" t="s">
        <v>68</v>
      </c>
      <c r="J389" s="2">
        <v>3310.13</v>
      </c>
      <c r="K389" s="2">
        <v>1.0320100000000001</v>
      </c>
      <c r="L389" s="2" t="s">
        <v>65</v>
      </c>
      <c r="M389" s="2" t="s">
        <v>260</v>
      </c>
      <c r="N389" s="2">
        <f t="shared" ca="1" si="18"/>
        <v>14</v>
      </c>
      <c r="O389" s="6">
        <f t="shared" ca="1" si="19"/>
        <v>45456</v>
      </c>
      <c r="P389" s="2">
        <f t="shared" ca="1" si="20"/>
        <v>1</v>
      </c>
    </row>
    <row r="390" spans="1:16" x14ac:dyDescent="0.35">
      <c r="A390" s="2" t="s">
        <v>40</v>
      </c>
      <c r="B390" s="2">
        <v>783161</v>
      </c>
      <c r="C390" s="2">
        <v>360</v>
      </c>
      <c r="D390" s="2">
        <v>2876176</v>
      </c>
      <c r="E390" s="2" t="s">
        <v>258</v>
      </c>
      <c r="F390" s="6" t="s">
        <v>135</v>
      </c>
      <c r="G390" s="6" t="s">
        <v>230</v>
      </c>
      <c r="H390" s="2">
        <v>2024122</v>
      </c>
      <c r="I390" s="2" t="s">
        <v>68</v>
      </c>
      <c r="J390" s="2">
        <v>2206.77</v>
      </c>
      <c r="K390" s="2">
        <v>1.02301</v>
      </c>
      <c r="L390" s="2" t="s">
        <v>65</v>
      </c>
      <c r="M390" s="2" t="s">
        <v>170</v>
      </c>
      <c r="N390" s="2">
        <f t="shared" ca="1" si="18"/>
        <v>14</v>
      </c>
      <c r="O390" s="6">
        <f t="shared" ca="1" si="19"/>
        <v>45456</v>
      </c>
      <c r="P390" s="2">
        <f t="shared" ca="1" si="20"/>
        <v>1</v>
      </c>
    </row>
    <row r="391" spans="1:16" x14ac:dyDescent="0.35">
      <c r="A391" s="2" t="s">
        <v>40</v>
      </c>
      <c r="B391" s="2">
        <v>783158</v>
      </c>
      <c r="C391" s="2">
        <v>360</v>
      </c>
      <c r="D391" s="2">
        <v>2876136</v>
      </c>
      <c r="E391" s="2" t="s">
        <v>258</v>
      </c>
      <c r="F391" s="6" t="s">
        <v>135</v>
      </c>
      <c r="G391" s="6" t="s">
        <v>230</v>
      </c>
      <c r="H391" s="2">
        <v>2024121</v>
      </c>
      <c r="I391" s="2" t="s">
        <v>68</v>
      </c>
      <c r="J391" s="2">
        <v>7723.66</v>
      </c>
      <c r="K391" s="2">
        <v>1.00901</v>
      </c>
      <c r="L391" s="2" t="s">
        <v>65</v>
      </c>
      <c r="M391" s="2" t="s">
        <v>195</v>
      </c>
      <c r="N391" s="2">
        <f t="shared" ca="1" si="18"/>
        <v>14</v>
      </c>
      <c r="O391" s="6">
        <f t="shared" ca="1" si="19"/>
        <v>45456</v>
      </c>
      <c r="P391" s="2">
        <f t="shared" ca="1" si="20"/>
        <v>1</v>
      </c>
    </row>
    <row r="392" spans="1:16" x14ac:dyDescent="0.35">
      <c r="A392" s="2" t="s">
        <v>40</v>
      </c>
      <c r="B392" s="2">
        <v>783155</v>
      </c>
      <c r="C392" s="2">
        <v>360</v>
      </c>
      <c r="D392" s="2">
        <v>2876017</v>
      </c>
      <c r="E392" s="2" t="s">
        <v>258</v>
      </c>
      <c r="F392" s="6" t="s">
        <v>135</v>
      </c>
      <c r="G392" s="6" t="s">
        <v>230</v>
      </c>
      <c r="H392" s="2">
        <v>2024120</v>
      </c>
      <c r="I392" s="2" t="s">
        <v>68</v>
      </c>
      <c r="J392" s="2">
        <v>2206.75</v>
      </c>
      <c r="K392" s="2">
        <v>1.00701</v>
      </c>
      <c r="L392" s="2" t="s">
        <v>65</v>
      </c>
      <c r="M392" s="2" t="s">
        <v>261</v>
      </c>
      <c r="N392" s="2">
        <f t="shared" ca="1" si="18"/>
        <v>14</v>
      </c>
      <c r="O392" s="6">
        <f t="shared" ca="1" si="19"/>
        <v>45456</v>
      </c>
      <c r="P392" s="2">
        <f t="shared" ca="1" si="20"/>
        <v>1</v>
      </c>
    </row>
    <row r="393" spans="1:16" x14ac:dyDescent="0.35">
      <c r="A393" s="2" t="s">
        <v>40</v>
      </c>
      <c r="B393" s="2">
        <v>783153</v>
      </c>
      <c r="C393" s="2">
        <v>360</v>
      </c>
      <c r="D393" s="2">
        <v>2876147</v>
      </c>
      <c r="E393" s="2" t="s">
        <v>258</v>
      </c>
      <c r="F393" s="6" t="s">
        <v>135</v>
      </c>
      <c r="G393" s="6" t="s">
        <v>230</v>
      </c>
      <c r="H393" s="2">
        <v>2024119</v>
      </c>
      <c r="I393" s="2" t="s">
        <v>68</v>
      </c>
      <c r="J393" s="2">
        <v>3409.37</v>
      </c>
      <c r="K393" s="2">
        <v>1.01702</v>
      </c>
      <c r="L393" s="2" t="s">
        <v>65</v>
      </c>
      <c r="M393" s="2" t="s">
        <v>190</v>
      </c>
      <c r="N393" s="2">
        <f t="shared" ca="1" si="18"/>
        <v>14</v>
      </c>
      <c r="O393" s="6">
        <f t="shared" ca="1" si="19"/>
        <v>45456</v>
      </c>
      <c r="P393" s="2">
        <f t="shared" ca="1" si="20"/>
        <v>1</v>
      </c>
    </row>
    <row r="394" spans="1:16" x14ac:dyDescent="0.35">
      <c r="A394" s="2" t="s">
        <v>40</v>
      </c>
      <c r="B394" s="2">
        <v>783151</v>
      </c>
      <c r="C394" s="2">
        <v>360</v>
      </c>
      <c r="D394" s="2">
        <v>2876164</v>
      </c>
      <c r="E394" s="2" t="s">
        <v>258</v>
      </c>
      <c r="F394" s="6" t="s">
        <v>135</v>
      </c>
      <c r="G394" s="6" t="s">
        <v>230</v>
      </c>
      <c r="H394" s="2">
        <v>2024117</v>
      </c>
      <c r="I394" s="2" t="s">
        <v>68</v>
      </c>
      <c r="J394" s="2">
        <v>3409.4</v>
      </c>
      <c r="K394" s="2">
        <v>1.0220100000000001</v>
      </c>
      <c r="L394" s="2" t="s">
        <v>65</v>
      </c>
      <c r="M394" s="2" t="s">
        <v>149</v>
      </c>
      <c r="N394" s="2">
        <f t="shared" ca="1" si="18"/>
        <v>14</v>
      </c>
      <c r="O394" s="6">
        <f t="shared" ca="1" si="19"/>
        <v>45456</v>
      </c>
      <c r="P394" s="2">
        <f t="shared" ca="1" si="20"/>
        <v>1</v>
      </c>
    </row>
    <row r="395" spans="1:16" x14ac:dyDescent="0.35">
      <c r="A395" s="2" t="s">
        <v>38</v>
      </c>
      <c r="B395" s="2">
        <v>783150</v>
      </c>
      <c r="C395" s="2">
        <v>360</v>
      </c>
      <c r="D395" s="2">
        <v>2876039</v>
      </c>
      <c r="E395" s="2" t="s">
        <v>441</v>
      </c>
      <c r="F395" s="6" t="s">
        <v>139</v>
      </c>
      <c r="G395" s="6" t="s">
        <v>230</v>
      </c>
      <c r="H395" s="2">
        <v>348</v>
      </c>
      <c r="I395" s="2" t="s">
        <v>79</v>
      </c>
      <c r="J395" s="2">
        <v>2125</v>
      </c>
      <c r="K395" s="2">
        <v>1.04901</v>
      </c>
      <c r="L395" s="2" t="s">
        <v>65</v>
      </c>
      <c r="M395" s="2" t="s">
        <v>146</v>
      </c>
      <c r="N395" s="2">
        <f t="shared" ca="1" si="18"/>
        <v>14</v>
      </c>
      <c r="O395" s="6">
        <f t="shared" ca="1" si="19"/>
        <v>45456</v>
      </c>
      <c r="P395" s="2">
        <f t="shared" ca="1" si="20"/>
        <v>1</v>
      </c>
    </row>
    <row r="396" spans="1:16" x14ac:dyDescent="0.35">
      <c r="A396" s="2" t="s">
        <v>38</v>
      </c>
      <c r="B396" s="2">
        <v>782929</v>
      </c>
      <c r="C396" s="2">
        <v>360</v>
      </c>
      <c r="D396" s="2">
        <v>2875180</v>
      </c>
      <c r="E396" s="2" t="s">
        <v>441</v>
      </c>
      <c r="F396" s="6" t="s">
        <v>139</v>
      </c>
      <c r="G396" s="6" t="s">
        <v>237</v>
      </c>
      <c r="H396" s="2">
        <v>351</v>
      </c>
      <c r="I396" s="2" t="s">
        <v>79</v>
      </c>
      <c r="J396" s="2">
        <v>2125</v>
      </c>
      <c r="K396" s="2">
        <v>1.0860099999999999</v>
      </c>
      <c r="L396" s="2" t="s">
        <v>65</v>
      </c>
      <c r="M396" s="2" t="s">
        <v>151</v>
      </c>
      <c r="N396" s="2">
        <f t="shared" ca="1" si="18"/>
        <v>16</v>
      </c>
      <c r="O396" s="6">
        <f t="shared" ca="1" si="19"/>
        <v>45456</v>
      </c>
      <c r="P396" s="2">
        <f t="shared" ca="1" si="20"/>
        <v>1</v>
      </c>
    </row>
    <row r="397" spans="1:16" x14ac:dyDescent="0.35">
      <c r="A397" s="2" t="s">
        <v>38</v>
      </c>
      <c r="B397" s="2">
        <v>782910</v>
      </c>
      <c r="C397" s="2">
        <v>360</v>
      </c>
      <c r="D397" s="2">
        <v>2875205</v>
      </c>
      <c r="E397" s="2" t="s">
        <v>642</v>
      </c>
      <c r="F397" s="6" t="s">
        <v>139</v>
      </c>
      <c r="G397" s="6" t="s">
        <v>237</v>
      </c>
      <c r="H397" s="2">
        <v>537</v>
      </c>
      <c r="I397" s="2" t="s">
        <v>68</v>
      </c>
      <c r="J397" s="2">
        <v>29420.98</v>
      </c>
      <c r="K397" s="2">
        <v>1.07602</v>
      </c>
      <c r="L397" s="2" t="s">
        <v>65</v>
      </c>
      <c r="M397" s="2" t="s">
        <v>77</v>
      </c>
      <c r="N397" s="2">
        <f t="shared" ca="1" si="18"/>
        <v>16</v>
      </c>
      <c r="O397" s="6">
        <f t="shared" ca="1" si="19"/>
        <v>45456</v>
      </c>
      <c r="P397" s="2">
        <f t="shared" ca="1" si="20"/>
        <v>1</v>
      </c>
    </row>
    <row r="398" spans="1:16" x14ac:dyDescent="0.35">
      <c r="A398" s="2" t="s">
        <v>36</v>
      </c>
      <c r="B398" s="2">
        <v>782892</v>
      </c>
      <c r="C398" s="2">
        <v>360</v>
      </c>
      <c r="D398" s="2">
        <v>2888395</v>
      </c>
      <c r="E398" s="2" t="s">
        <v>442</v>
      </c>
      <c r="F398" s="6" t="s">
        <v>139</v>
      </c>
      <c r="G398" s="6" t="s">
        <v>147</v>
      </c>
      <c r="H398" s="2">
        <v>172</v>
      </c>
      <c r="I398" s="2" t="s">
        <v>79</v>
      </c>
      <c r="J398" s="2">
        <v>4800</v>
      </c>
      <c r="K398" s="2">
        <v>1.0740099999999999</v>
      </c>
      <c r="L398" s="2" t="s">
        <v>65</v>
      </c>
      <c r="M398" s="2" t="s">
        <v>105</v>
      </c>
      <c r="N398" s="2">
        <f t="shared" ca="1" si="18"/>
        <v>17</v>
      </c>
      <c r="O398" s="6">
        <f t="shared" ca="1" si="19"/>
        <v>45456</v>
      </c>
      <c r="P398" s="2">
        <f t="shared" ca="1" si="20"/>
        <v>1</v>
      </c>
    </row>
    <row r="399" spans="1:16" x14ac:dyDescent="0.35">
      <c r="A399" s="2" t="s">
        <v>38</v>
      </c>
      <c r="B399" s="2">
        <v>782790</v>
      </c>
      <c r="C399" s="2">
        <v>360</v>
      </c>
      <c r="D399" s="2">
        <v>2874868</v>
      </c>
      <c r="E399" s="2" t="s">
        <v>441</v>
      </c>
      <c r="F399" s="6" t="s">
        <v>139</v>
      </c>
      <c r="G399" s="6" t="s">
        <v>230</v>
      </c>
      <c r="H399" s="2">
        <v>349</v>
      </c>
      <c r="I399" s="2" t="s">
        <v>79</v>
      </c>
      <c r="J399" s="2">
        <v>2125</v>
      </c>
      <c r="K399" s="2">
        <v>1.04101</v>
      </c>
      <c r="L399" s="2" t="s">
        <v>65</v>
      </c>
      <c r="M399" s="2" t="s">
        <v>443</v>
      </c>
      <c r="N399" s="2">
        <f t="shared" ca="1" si="18"/>
        <v>14</v>
      </c>
      <c r="O399" s="6">
        <f t="shared" ca="1" si="19"/>
        <v>45456</v>
      </c>
      <c r="P399" s="2">
        <f t="shared" ca="1" si="20"/>
        <v>1</v>
      </c>
    </row>
    <row r="400" spans="1:16" x14ac:dyDescent="0.35">
      <c r="A400" s="2" t="s">
        <v>42</v>
      </c>
      <c r="B400" s="2">
        <v>782743</v>
      </c>
      <c r="C400" s="2">
        <v>360</v>
      </c>
      <c r="D400" s="2">
        <v>2874710</v>
      </c>
      <c r="E400" s="2" t="s">
        <v>150</v>
      </c>
      <c r="F400" s="6" t="s">
        <v>135</v>
      </c>
      <c r="G400" s="6" t="s">
        <v>147</v>
      </c>
      <c r="H400" s="2">
        <v>31485</v>
      </c>
      <c r="I400" s="2" t="s">
        <v>79</v>
      </c>
      <c r="J400" s="2">
        <v>650</v>
      </c>
      <c r="K400" s="2">
        <v>1.0820099999999999</v>
      </c>
      <c r="L400" s="2" t="s">
        <v>65</v>
      </c>
      <c r="M400" s="2" t="s">
        <v>181</v>
      </c>
      <c r="N400" s="2">
        <f t="shared" ca="1" si="18"/>
        <v>17</v>
      </c>
      <c r="O400" s="6">
        <f t="shared" ca="1" si="19"/>
        <v>45456</v>
      </c>
      <c r="P400" s="2">
        <f t="shared" ca="1" si="20"/>
        <v>1</v>
      </c>
    </row>
    <row r="401" spans="1:16" x14ac:dyDescent="0.35">
      <c r="A401" s="2" t="s">
        <v>42</v>
      </c>
      <c r="B401" s="2">
        <v>782741</v>
      </c>
      <c r="C401" s="2">
        <v>360</v>
      </c>
      <c r="D401" s="2">
        <v>2874838</v>
      </c>
      <c r="E401" s="2" t="s">
        <v>150</v>
      </c>
      <c r="F401" s="6" t="s">
        <v>135</v>
      </c>
      <c r="G401" s="6" t="s">
        <v>147</v>
      </c>
      <c r="H401" s="2">
        <v>31484</v>
      </c>
      <c r="I401" s="2" t="s">
        <v>79</v>
      </c>
      <c r="J401" s="2">
        <v>650</v>
      </c>
      <c r="K401" s="2">
        <v>1.05701</v>
      </c>
      <c r="L401" s="2" t="s">
        <v>65</v>
      </c>
      <c r="M401" s="2" t="s">
        <v>203</v>
      </c>
      <c r="N401" s="2">
        <f t="shared" ca="1" si="18"/>
        <v>17</v>
      </c>
      <c r="O401" s="6">
        <f t="shared" ca="1" si="19"/>
        <v>45456</v>
      </c>
      <c r="P401" s="2">
        <f t="shared" ca="1" si="20"/>
        <v>1</v>
      </c>
    </row>
    <row r="402" spans="1:16" x14ac:dyDescent="0.35">
      <c r="A402" s="2" t="s">
        <v>42</v>
      </c>
      <c r="B402" s="2">
        <v>782737</v>
      </c>
      <c r="C402" s="2">
        <v>360</v>
      </c>
      <c r="D402" s="2">
        <v>2874852</v>
      </c>
      <c r="E402" s="2" t="s">
        <v>150</v>
      </c>
      <c r="F402" s="6" t="s">
        <v>135</v>
      </c>
      <c r="G402" s="6" t="s">
        <v>147</v>
      </c>
      <c r="H402" s="2">
        <v>31486</v>
      </c>
      <c r="I402" s="2" t="s">
        <v>79</v>
      </c>
      <c r="J402" s="2">
        <v>650</v>
      </c>
      <c r="K402" s="2">
        <v>1.0480100000000001</v>
      </c>
      <c r="L402" s="2" t="s">
        <v>65</v>
      </c>
      <c r="M402" s="2" t="s">
        <v>75</v>
      </c>
      <c r="N402" s="2">
        <f t="shared" ca="1" si="18"/>
        <v>17</v>
      </c>
      <c r="O402" s="6">
        <f t="shared" ca="1" si="19"/>
        <v>45456</v>
      </c>
      <c r="P402" s="2">
        <f t="shared" ca="1" si="20"/>
        <v>1</v>
      </c>
    </row>
    <row r="403" spans="1:16" x14ac:dyDescent="0.35">
      <c r="A403" s="2" t="s">
        <v>42</v>
      </c>
      <c r="B403" s="2">
        <v>782613</v>
      </c>
      <c r="C403" s="2">
        <v>360</v>
      </c>
      <c r="D403" s="2">
        <v>2874129</v>
      </c>
      <c r="E403" s="2" t="s">
        <v>262</v>
      </c>
      <c r="F403" s="6" t="s">
        <v>139</v>
      </c>
      <c r="G403" s="6" t="s">
        <v>237</v>
      </c>
      <c r="H403" s="2">
        <v>1209111</v>
      </c>
      <c r="I403" s="2" t="s">
        <v>68</v>
      </c>
      <c r="J403" s="2">
        <v>1409.08</v>
      </c>
      <c r="K403" s="2">
        <v>1.0620099999999999</v>
      </c>
      <c r="L403" s="2" t="s">
        <v>65</v>
      </c>
      <c r="M403" s="2" t="s">
        <v>176</v>
      </c>
      <c r="N403" s="2">
        <f t="shared" ca="1" si="18"/>
        <v>16</v>
      </c>
      <c r="O403" s="6">
        <f t="shared" ca="1" si="19"/>
        <v>45456</v>
      </c>
      <c r="P403" s="2">
        <f t="shared" ca="1" si="20"/>
        <v>1</v>
      </c>
    </row>
    <row r="404" spans="1:16" x14ac:dyDescent="0.35">
      <c r="A404" s="2" t="s">
        <v>42</v>
      </c>
      <c r="B404" s="2">
        <v>782387</v>
      </c>
      <c r="C404" s="2">
        <v>360</v>
      </c>
      <c r="D404" s="2">
        <v>2873246</v>
      </c>
      <c r="E404" s="2" t="s">
        <v>109</v>
      </c>
      <c r="F404" s="6" t="s">
        <v>135</v>
      </c>
      <c r="G404" s="6" t="s">
        <v>152</v>
      </c>
      <c r="H404" s="2">
        <v>674</v>
      </c>
      <c r="I404" s="2" t="s">
        <v>79</v>
      </c>
      <c r="J404" s="2">
        <v>720</v>
      </c>
      <c r="K404" s="2">
        <v>1.00108</v>
      </c>
      <c r="L404" s="2" t="s">
        <v>76</v>
      </c>
      <c r="M404" s="2" t="s">
        <v>185</v>
      </c>
      <c r="N404" s="2">
        <f t="shared" ca="1" si="18"/>
        <v>15</v>
      </c>
      <c r="O404" s="6">
        <f t="shared" ca="1" si="19"/>
        <v>45456</v>
      </c>
      <c r="P404" s="2">
        <f t="shared" ca="1" si="20"/>
        <v>1</v>
      </c>
    </row>
    <row r="405" spans="1:16" x14ac:dyDescent="0.35">
      <c r="A405" s="2" t="s">
        <v>42</v>
      </c>
      <c r="B405" s="2">
        <v>782364</v>
      </c>
      <c r="C405" s="2">
        <v>360</v>
      </c>
      <c r="D405" s="2">
        <v>2873240</v>
      </c>
      <c r="E405" s="2" t="s">
        <v>235</v>
      </c>
      <c r="F405" s="6" t="s">
        <v>135</v>
      </c>
      <c r="G405" s="6" t="s">
        <v>263</v>
      </c>
      <c r="H405" s="2">
        <v>438639</v>
      </c>
      <c r="I405" s="2" t="s">
        <v>83</v>
      </c>
      <c r="J405" s="2">
        <v>1039.93</v>
      </c>
      <c r="K405" s="2">
        <v>1.0740099999999999</v>
      </c>
      <c r="L405" s="2" t="s">
        <v>76</v>
      </c>
      <c r="M405" s="2" t="s">
        <v>105</v>
      </c>
      <c r="N405" s="2">
        <f t="shared" ca="1" si="18"/>
        <v>26</v>
      </c>
      <c r="O405" s="6">
        <f t="shared" ca="1" si="19"/>
        <v>45456</v>
      </c>
      <c r="P405" s="2">
        <f t="shared" ca="1" si="20"/>
        <v>1</v>
      </c>
    </row>
    <row r="406" spans="1:16" x14ac:dyDescent="0.35">
      <c r="A406" s="2" t="s">
        <v>40</v>
      </c>
      <c r="B406" s="2">
        <v>782237</v>
      </c>
      <c r="C406" s="2">
        <v>360</v>
      </c>
      <c r="D406" s="2">
        <v>2873217</v>
      </c>
      <c r="E406" s="2" t="s">
        <v>615</v>
      </c>
      <c r="F406" s="6" t="s">
        <v>135</v>
      </c>
      <c r="G406" s="6" t="s">
        <v>152</v>
      </c>
      <c r="H406" s="2">
        <v>19655</v>
      </c>
      <c r="I406" s="2" t="s">
        <v>79</v>
      </c>
      <c r="J406" s="2">
        <v>3313.6</v>
      </c>
      <c r="K406" s="2">
        <v>1.0900099999999999</v>
      </c>
      <c r="L406" s="2" t="s">
        <v>76</v>
      </c>
      <c r="M406" s="2" t="s">
        <v>72</v>
      </c>
      <c r="N406" s="2">
        <f t="shared" ca="1" si="18"/>
        <v>15</v>
      </c>
      <c r="O406" s="6">
        <f t="shared" ca="1" si="19"/>
        <v>45456</v>
      </c>
      <c r="P406" s="2">
        <f t="shared" ca="1" si="20"/>
        <v>1</v>
      </c>
    </row>
    <row r="407" spans="1:16" x14ac:dyDescent="0.35">
      <c r="A407" s="2" t="s">
        <v>38</v>
      </c>
      <c r="B407" s="2">
        <v>781633</v>
      </c>
      <c r="C407" s="2">
        <v>360</v>
      </c>
      <c r="D407" s="2">
        <v>2871688</v>
      </c>
      <c r="E407" s="2" t="s">
        <v>436</v>
      </c>
      <c r="F407" s="6" t="s">
        <v>135</v>
      </c>
      <c r="G407" s="6" t="s">
        <v>230</v>
      </c>
      <c r="H407" s="2">
        <v>2452</v>
      </c>
      <c r="I407" s="2" t="s">
        <v>68</v>
      </c>
      <c r="J407" s="2">
        <v>712.5</v>
      </c>
      <c r="K407" s="2">
        <v>1.09501</v>
      </c>
      <c r="L407" s="2" t="s">
        <v>65</v>
      </c>
      <c r="M407" s="2" t="s">
        <v>192</v>
      </c>
      <c r="N407" s="2">
        <f t="shared" ca="1" si="18"/>
        <v>14</v>
      </c>
      <c r="O407" s="6">
        <f t="shared" ca="1" si="19"/>
        <v>45456</v>
      </c>
      <c r="P407" s="2">
        <f t="shared" ca="1" si="20"/>
        <v>1</v>
      </c>
    </row>
    <row r="408" spans="1:16" x14ac:dyDescent="0.35">
      <c r="A408" s="2" t="s">
        <v>38</v>
      </c>
      <c r="B408" s="2">
        <v>781612</v>
      </c>
      <c r="C408" s="2">
        <v>360</v>
      </c>
      <c r="D408" s="2">
        <v>2871653</v>
      </c>
      <c r="E408" s="2" t="s">
        <v>436</v>
      </c>
      <c r="F408" s="6" t="s">
        <v>135</v>
      </c>
      <c r="G408" s="6" t="s">
        <v>230</v>
      </c>
      <c r="H408" s="2">
        <v>2450</v>
      </c>
      <c r="I408" s="2" t="s">
        <v>68</v>
      </c>
      <c r="J408" s="2">
        <v>1000</v>
      </c>
      <c r="K408" s="2">
        <v>1.0920300000000001</v>
      </c>
      <c r="L408" s="2" t="s">
        <v>65</v>
      </c>
      <c r="M408" s="2" t="s">
        <v>164</v>
      </c>
      <c r="N408" s="2">
        <f t="shared" ca="1" si="18"/>
        <v>14</v>
      </c>
      <c r="O408" s="6">
        <f t="shared" ca="1" si="19"/>
        <v>45456</v>
      </c>
      <c r="P408" s="2">
        <f t="shared" ca="1" si="20"/>
        <v>1</v>
      </c>
    </row>
    <row r="409" spans="1:16" x14ac:dyDescent="0.35">
      <c r="A409" s="2" t="s">
        <v>38</v>
      </c>
      <c r="B409" s="2">
        <v>781597</v>
      </c>
      <c r="C409" s="2">
        <v>360</v>
      </c>
      <c r="D409" s="2">
        <v>2871621</v>
      </c>
      <c r="E409" s="2" t="s">
        <v>436</v>
      </c>
      <c r="F409" s="6" t="s">
        <v>135</v>
      </c>
      <c r="G409" s="6" t="s">
        <v>230</v>
      </c>
      <c r="H409" s="2">
        <v>2448</v>
      </c>
      <c r="I409" s="2" t="s">
        <v>68</v>
      </c>
      <c r="J409" s="2">
        <v>1163.75</v>
      </c>
      <c r="K409" s="2">
        <v>1.10301</v>
      </c>
      <c r="L409" s="2" t="s">
        <v>65</v>
      </c>
      <c r="M409" s="2" t="s">
        <v>444</v>
      </c>
      <c r="N409" s="2">
        <f t="shared" ca="1" si="18"/>
        <v>14</v>
      </c>
      <c r="O409" s="6">
        <f t="shared" ca="1" si="19"/>
        <v>45456</v>
      </c>
      <c r="P409" s="2">
        <f t="shared" ca="1" si="20"/>
        <v>1</v>
      </c>
    </row>
    <row r="410" spans="1:16" x14ac:dyDescent="0.35">
      <c r="A410" s="2" t="s">
        <v>38</v>
      </c>
      <c r="B410" s="2">
        <v>781575</v>
      </c>
      <c r="C410" s="2">
        <v>360</v>
      </c>
      <c r="D410" s="2">
        <v>2871426</v>
      </c>
      <c r="E410" s="2" t="s">
        <v>436</v>
      </c>
      <c r="F410" s="6" t="s">
        <v>135</v>
      </c>
      <c r="G410" s="6" t="s">
        <v>230</v>
      </c>
      <c r="H410" s="2">
        <v>2447</v>
      </c>
      <c r="I410" s="2" t="s">
        <v>68</v>
      </c>
      <c r="J410" s="2">
        <v>1580</v>
      </c>
      <c r="K410" s="2">
        <v>1.0940099999999999</v>
      </c>
      <c r="L410" s="2" t="s">
        <v>65</v>
      </c>
      <c r="M410" s="2" t="s">
        <v>125</v>
      </c>
      <c r="N410" s="2">
        <f t="shared" ca="1" si="18"/>
        <v>14</v>
      </c>
      <c r="O410" s="6">
        <f t="shared" ca="1" si="19"/>
        <v>45456</v>
      </c>
      <c r="P410" s="2">
        <f t="shared" ca="1" si="20"/>
        <v>1</v>
      </c>
    </row>
    <row r="411" spans="1:16" x14ac:dyDescent="0.35">
      <c r="A411" s="2" t="s">
        <v>38</v>
      </c>
      <c r="B411" s="2">
        <v>781569</v>
      </c>
      <c r="C411" s="2">
        <v>360</v>
      </c>
      <c r="D411" s="2">
        <v>2871408</v>
      </c>
      <c r="E411" s="2" t="s">
        <v>436</v>
      </c>
      <c r="F411" s="6" t="s">
        <v>135</v>
      </c>
      <c r="G411" s="6" t="s">
        <v>152</v>
      </c>
      <c r="H411" s="2">
        <v>2446</v>
      </c>
      <c r="I411" s="2" t="s">
        <v>68</v>
      </c>
      <c r="J411" s="2">
        <v>1035.5</v>
      </c>
      <c r="K411" s="2">
        <v>1.0860099999999999</v>
      </c>
      <c r="L411" s="2" t="s">
        <v>65</v>
      </c>
      <c r="M411" s="2" t="s">
        <v>151</v>
      </c>
      <c r="N411" s="2">
        <f t="shared" ca="1" si="18"/>
        <v>15</v>
      </c>
      <c r="O411" s="6">
        <f t="shared" ca="1" si="19"/>
        <v>45456</v>
      </c>
      <c r="P411" s="2">
        <f t="shared" ca="1" si="20"/>
        <v>1</v>
      </c>
    </row>
    <row r="412" spans="1:16" x14ac:dyDescent="0.35">
      <c r="A412" s="2" t="s">
        <v>38</v>
      </c>
      <c r="B412" s="2">
        <v>781566</v>
      </c>
      <c r="C412" s="2">
        <v>360</v>
      </c>
      <c r="D412" s="2">
        <v>2871399</v>
      </c>
      <c r="E412" s="2" t="s">
        <v>436</v>
      </c>
      <c r="F412" s="6" t="s">
        <v>135</v>
      </c>
      <c r="G412" s="6" t="s">
        <v>230</v>
      </c>
      <c r="H412" s="2">
        <v>2445</v>
      </c>
      <c r="I412" s="2" t="s">
        <v>68</v>
      </c>
      <c r="J412" s="2">
        <v>1140</v>
      </c>
      <c r="K412" s="2">
        <v>1.0860099999999999</v>
      </c>
      <c r="L412" s="2" t="s">
        <v>65</v>
      </c>
      <c r="M412" s="2" t="s">
        <v>151</v>
      </c>
      <c r="N412" s="2">
        <f t="shared" ca="1" si="18"/>
        <v>14</v>
      </c>
      <c r="O412" s="6">
        <f t="shared" ca="1" si="19"/>
        <v>45456</v>
      </c>
      <c r="P412" s="2">
        <f t="shared" ca="1" si="20"/>
        <v>1</v>
      </c>
    </row>
    <row r="413" spans="1:16" x14ac:dyDescent="0.35">
      <c r="A413" s="2" t="s">
        <v>38</v>
      </c>
      <c r="B413" s="2">
        <v>781559</v>
      </c>
      <c r="C413" s="2">
        <v>360</v>
      </c>
      <c r="D413" s="2">
        <v>2871381</v>
      </c>
      <c r="E413" s="2" t="s">
        <v>436</v>
      </c>
      <c r="F413" s="6" t="s">
        <v>135</v>
      </c>
      <c r="G413" s="6" t="s">
        <v>230</v>
      </c>
      <c r="H413" s="2">
        <v>2443</v>
      </c>
      <c r="I413" s="2" t="s">
        <v>68</v>
      </c>
      <c r="J413" s="2">
        <v>1150</v>
      </c>
      <c r="K413" s="2">
        <v>1.0900099999999999</v>
      </c>
      <c r="L413" s="2" t="s">
        <v>65</v>
      </c>
      <c r="M413" s="2" t="s">
        <v>72</v>
      </c>
      <c r="N413" s="2">
        <f t="shared" ca="1" si="18"/>
        <v>14</v>
      </c>
      <c r="O413" s="6">
        <f t="shared" ca="1" si="19"/>
        <v>45456</v>
      </c>
      <c r="P413" s="2">
        <f t="shared" ca="1" si="20"/>
        <v>1</v>
      </c>
    </row>
    <row r="414" spans="1:16" x14ac:dyDescent="0.35">
      <c r="A414" s="2" t="s">
        <v>38</v>
      </c>
      <c r="B414" s="2">
        <v>781558</v>
      </c>
      <c r="C414" s="2">
        <v>360</v>
      </c>
      <c r="D414" s="2">
        <v>2871378</v>
      </c>
      <c r="E414" s="2" t="s">
        <v>436</v>
      </c>
      <c r="F414" s="6" t="s">
        <v>135</v>
      </c>
      <c r="G414" s="6" t="s">
        <v>230</v>
      </c>
      <c r="H414" s="2">
        <v>2444</v>
      </c>
      <c r="I414" s="2" t="s">
        <v>68</v>
      </c>
      <c r="J414" s="2">
        <v>1095</v>
      </c>
      <c r="K414" s="2">
        <v>1.0900099999999999</v>
      </c>
      <c r="L414" s="2" t="s">
        <v>65</v>
      </c>
      <c r="M414" s="2" t="s">
        <v>72</v>
      </c>
      <c r="N414" s="2">
        <f t="shared" ca="1" si="18"/>
        <v>14</v>
      </c>
      <c r="O414" s="6">
        <f t="shared" ca="1" si="19"/>
        <v>45456</v>
      </c>
      <c r="P414" s="2">
        <f t="shared" ca="1" si="20"/>
        <v>1</v>
      </c>
    </row>
    <row r="415" spans="1:16" x14ac:dyDescent="0.35">
      <c r="A415" s="2" t="s">
        <v>40</v>
      </c>
      <c r="B415" s="2">
        <v>781330</v>
      </c>
      <c r="C415" s="2">
        <v>360</v>
      </c>
      <c r="D415" s="2">
        <v>2870201</v>
      </c>
      <c r="E415" s="2" t="s">
        <v>654</v>
      </c>
      <c r="F415" s="6" t="s">
        <v>135</v>
      </c>
      <c r="G415" s="6" t="s">
        <v>147</v>
      </c>
      <c r="H415" s="2">
        <v>25997</v>
      </c>
      <c r="I415" s="2" t="s">
        <v>79</v>
      </c>
      <c r="J415" s="2">
        <v>460</v>
      </c>
      <c r="K415" s="2">
        <v>1.0900099999999999</v>
      </c>
      <c r="L415" s="2" t="s">
        <v>65</v>
      </c>
      <c r="M415" s="2" t="s">
        <v>72</v>
      </c>
      <c r="N415" s="2">
        <f t="shared" ca="1" si="18"/>
        <v>17</v>
      </c>
      <c r="O415" s="6">
        <f t="shared" ca="1" si="19"/>
        <v>45456</v>
      </c>
      <c r="P415" s="2">
        <f t="shared" ca="1" si="20"/>
        <v>1</v>
      </c>
    </row>
    <row r="416" spans="1:16" x14ac:dyDescent="0.35">
      <c r="A416" s="2" t="s">
        <v>38</v>
      </c>
      <c r="B416" s="2">
        <v>781175</v>
      </c>
      <c r="C416" s="2">
        <v>360</v>
      </c>
      <c r="D416" s="2">
        <v>2870003</v>
      </c>
      <c r="E416" s="2" t="s">
        <v>655</v>
      </c>
      <c r="F416" s="6" t="s">
        <v>135</v>
      </c>
      <c r="G416" s="6" t="s">
        <v>147</v>
      </c>
      <c r="H416" s="2">
        <v>24112592</v>
      </c>
      <c r="I416" s="2" t="s">
        <v>68</v>
      </c>
      <c r="J416" s="2">
        <v>1921.2</v>
      </c>
      <c r="K416" s="2">
        <v>1.0540099999999999</v>
      </c>
      <c r="L416" s="2" t="s">
        <v>65</v>
      </c>
      <c r="M416" s="2" t="s">
        <v>121</v>
      </c>
      <c r="N416" s="2">
        <f t="shared" ca="1" si="18"/>
        <v>17</v>
      </c>
      <c r="O416" s="6">
        <f t="shared" ca="1" si="19"/>
        <v>45456</v>
      </c>
      <c r="P416" s="2">
        <f t="shared" ca="1" si="20"/>
        <v>1</v>
      </c>
    </row>
    <row r="417" spans="1:16" x14ac:dyDescent="0.35">
      <c r="A417" s="2" t="s">
        <v>42</v>
      </c>
      <c r="B417" s="2">
        <v>781165</v>
      </c>
      <c r="C417" s="2">
        <v>360</v>
      </c>
      <c r="D417" s="2">
        <v>2892530</v>
      </c>
      <c r="E417" s="2" t="s">
        <v>225</v>
      </c>
      <c r="F417" s="6" t="s">
        <v>135</v>
      </c>
      <c r="G417" s="6" t="s">
        <v>152</v>
      </c>
      <c r="H417" s="2">
        <v>16736</v>
      </c>
      <c r="I417" s="2" t="s">
        <v>79</v>
      </c>
      <c r="J417" s="2">
        <v>1020</v>
      </c>
      <c r="K417" s="2">
        <v>1.06501</v>
      </c>
      <c r="L417" s="2" t="s">
        <v>76</v>
      </c>
      <c r="M417" s="2" t="s">
        <v>145</v>
      </c>
      <c r="N417" s="2">
        <f t="shared" ca="1" si="18"/>
        <v>15</v>
      </c>
      <c r="O417" s="6">
        <f t="shared" ca="1" si="19"/>
        <v>45456</v>
      </c>
      <c r="P417" s="2">
        <f t="shared" ca="1" si="20"/>
        <v>1</v>
      </c>
    </row>
    <row r="418" spans="1:16" x14ac:dyDescent="0.35">
      <c r="A418" s="2" t="s">
        <v>32</v>
      </c>
      <c r="B418" s="2">
        <v>2284118</v>
      </c>
      <c r="C418" s="2" t="s">
        <v>33</v>
      </c>
      <c r="D418" s="2" t="s">
        <v>21</v>
      </c>
      <c r="E418" s="2" t="s">
        <v>22</v>
      </c>
      <c r="F418" s="6" t="s">
        <v>657</v>
      </c>
      <c r="G418" s="6" t="s">
        <v>141</v>
      </c>
      <c r="I418" s="2" t="s">
        <v>264</v>
      </c>
      <c r="L418" s="2" t="s">
        <v>656</v>
      </c>
      <c r="N418" s="2">
        <f t="shared" ca="1" si="18"/>
        <v>1</v>
      </c>
      <c r="O418" s="6">
        <f t="shared" ca="1" si="19"/>
        <v>45456</v>
      </c>
      <c r="P418" s="2">
        <f t="shared" ca="1" si="20"/>
        <v>1</v>
      </c>
    </row>
    <row r="419" spans="1:16" x14ac:dyDescent="0.35">
      <c r="A419" s="2" t="s">
        <v>32</v>
      </c>
      <c r="B419" s="2">
        <v>2482270</v>
      </c>
      <c r="C419" s="2" t="s">
        <v>33</v>
      </c>
      <c r="D419" s="2" t="s">
        <v>21</v>
      </c>
      <c r="E419" s="2" t="s">
        <v>22</v>
      </c>
      <c r="F419" s="6" t="s">
        <v>11</v>
      </c>
      <c r="G419" s="6" t="s">
        <v>141</v>
      </c>
      <c r="I419" s="2" t="s">
        <v>264</v>
      </c>
      <c r="L419" s="2" t="s">
        <v>462</v>
      </c>
      <c r="N419" s="2">
        <f t="shared" ca="1" si="18"/>
        <v>1</v>
      </c>
      <c r="O419" s="6">
        <f t="shared" ca="1" si="19"/>
        <v>45456</v>
      </c>
      <c r="P419" s="2">
        <f t="shared" ca="1" si="20"/>
        <v>1</v>
      </c>
    </row>
    <row r="420" spans="1:16" x14ac:dyDescent="0.35">
      <c r="A420" s="2" t="s">
        <v>32</v>
      </c>
      <c r="B420" s="2">
        <v>2496949</v>
      </c>
      <c r="C420" s="2" t="s">
        <v>33</v>
      </c>
      <c r="D420" s="2" t="s">
        <v>21</v>
      </c>
      <c r="E420" s="2" t="s">
        <v>22</v>
      </c>
      <c r="F420" s="6" t="s">
        <v>265</v>
      </c>
      <c r="G420" s="6" t="s">
        <v>141</v>
      </c>
      <c r="I420" s="2" t="s">
        <v>264</v>
      </c>
      <c r="L420" s="2" t="s">
        <v>462</v>
      </c>
      <c r="N420" s="2">
        <f t="shared" ca="1" si="18"/>
        <v>1</v>
      </c>
      <c r="O420" s="6">
        <f t="shared" ca="1" si="19"/>
        <v>45456</v>
      </c>
      <c r="P420" s="2">
        <f t="shared" ca="1" si="20"/>
        <v>1</v>
      </c>
    </row>
    <row r="421" spans="1:16" x14ac:dyDescent="0.35">
      <c r="A421" s="2" t="s">
        <v>32</v>
      </c>
      <c r="B421" s="2">
        <v>2531430</v>
      </c>
      <c r="C421" s="2" t="s">
        <v>33</v>
      </c>
      <c r="D421" s="2" t="s">
        <v>21</v>
      </c>
      <c r="E421" s="2" t="s">
        <v>22</v>
      </c>
      <c r="F421" s="6" t="s">
        <v>659</v>
      </c>
      <c r="G421" s="6" t="s">
        <v>141</v>
      </c>
      <c r="I421" s="2" t="s">
        <v>264</v>
      </c>
      <c r="L421" s="2" t="s">
        <v>658</v>
      </c>
      <c r="N421" s="2">
        <f t="shared" ca="1" si="18"/>
        <v>1</v>
      </c>
      <c r="O421" s="6">
        <f t="shared" ca="1" si="19"/>
        <v>45456</v>
      </c>
      <c r="P421" s="2">
        <f t="shared" ca="1" si="20"/>
        <v>1</v>
      </c>
    </row>
    <row r="422" spans="1:16" x14ac:dyDescent="0.35">
      <c r="A422" s="2" t="s">
        <v>32</v>
      </c>
      <c r="B422" s="2">
        <v>2531544</v>
      </c>
      <c r="C422" s="2" t="s">
        <v>33</v>
      </c>
      <c r="D422" s="2" t="s">
        <v>21</v>
      </c>
      <c r="E422" s="2" t="s">
        <v>22</v>
      </c>
      <c r="F422" s="6" t="s">
        <v>659</v>
      </c>
      <c r="G422" s="6" t="s">
        <v>141</v>
      </c>
      <c r="I422" s="2" t="s">
        <v>264</v>
      </c>
      <c r="L422" s="2" t="s">
        <v>658</v>
      </c>
      <c r="N422" s="2">
        <f t="shared" ca="1" si="18"/>
        <v>1</v>
      </c>
      <c r="O422" s="6">
        <f t="shared" ca="1" si="19"/>
        <v>45456</v>
      </c>
      <c r="P422" s="2">
        <f t="shared" ca="1" si="20"/>
        <v>1</v>
      </c>
    </row>
    <row r="423" spans="1:16" x14ac:dyDescent="0.35">
      <c r="A423" s="2" t="s">
        <v>32</v>
      </c>
      <c r="B423" s="2">
        <v>2531733</v>
      </c>
      <c r="C423" s="2" t="s">
        <v>33</v>
      </c>
      <c r="D423" s="2" t="s">
        <v>21</v>
      </c>
      <c r="E423" s="2" t="s">
        <v>22</v>
      </c>
      <c r="F423" s="6" t="s">
        <v>659</v>
      </c>
      <c r="G423" s="6" t="s">
        <v>141</v>
      </c>
      <c r="I423" s="2" t="s">
        <v>264</v>
      </c>
      <c r="L423" s="2" t="s">
        <v>658</v>
      </c>
      <c r="N423" s="2">
        <f t="shared" ca="1" si="18"/>
        <v>1</v>
      </c>
      <c r="O423" s="6">
        <f t="shared" ca="1" si="19"/>
        <v>45456</v>
      </c>
      <c r="P423" s="2">
        <f t="shared" ca="1" si="20"/>
        <v>1</v>
      </c>
    </row>
    <row r="424" spans="1:16" x14ac:dyDescent="0.35">
      <c r="A424" s="2" t="s">
        <v>32</v>
      </c>
      <c r="B424" s="2">
        <v>2531767</v>
      </c>
      <c r="C424" s="2" t="s">
        <v>33</v>
      </c>
      <c r="D424" s="2" t="s">
        <v>21</v>
      </c>
      <c r="E424" s="2" t="s">
        <v>22</v>
      </c>
      <c r="F424" s="6" t="s">
        <v>659</v>
      </c>
      <c r="G424" s="6" t="s">
        <v>141</v>
      </c>
      <c r="I424" s="2" t="s">
        <v>264</v>
      </c>
      <c r="L424" s="2" t="s">
        <v>660</v>
      </c>
      <c r="N424" s="2">
        <f t="shared" ca="1" si="18"/>
        <v>1</v>
      </c>
      <c r="O424" s="6">
        <f t="shared" ca="1" si="19"/>
        <v>45456</v>
      </c>
      <c r="P424" s="2">
        <f t="shared" ca="1" si="20"/>
        <v>1</v>
      </c>
    </row>
    <row r="425" spans="1:16" x14ac:dyDescent="0.35">
      <c r="A425" s="2" t="s">
        <v>32</v>
      </c>
      <c r="B425" s="2">
        <v>2531781</v>
      </c>
      <c r="C425" s="2" t="s">
        <v>33</v>
      </c>
      <c r="D425" s="2" t="s">
        <v>21</v>
      </c>
      <c r="E425" s="2" t="s">
        <v>22</v>
      </c>
      <c r="F425" s="6" t="s">
        <v>659</v>
      </c>
      <c r="G425" s="6" t="s">
        <v>141</v>
      </c>
      <c r="I425" s="2" t="s">
        <v>264</v>
      </c>
      <c r="L425" s="2" t="s">
        <v>661</v>
      </c>
      <c r="N425" s="2">
        <f t="shared" ca="1" si="18"/>
        <v>1</v>
      </c>
      <c r="O425" s="6">
        <f t="shared" ca="1" si="19"/>
        <v>45456</v>
      </c>
      <c r="P425" s="2">
        <f t="shared" ca="1" si="20"/>
        <v>1</v>
      </c>
    </row>
    <row r="426" spans="1:16" x14ac:dyDescent="0.35">
      <c r="A426" s="2" t="s">
        <v>32</v>
      </c>
      <c r="B426" s="2">
        <v>2531789</v>
      </c>
      <c r="C426" s="2" t="s">
        <v>33</v>
      </c>
      <c r="D426" s="2" t="s">
        <v>21</v>
      </c>
      <c r="E426" s="2" t="s">
        <v>22</v>
      </c>
      <c r="F426" s="6" t="s">
        <v>659</v>
      </c>
      <c r="G426" s="6" t="s">
        <v>141</v>
      </c>
      <c r="I426" s="2" t="s">
        <v>264</v>
      </c>
      <c r="L426" s="2" t="s">
        <v>658</v>
      </c>
      <c r="N426" s="2">
        <f t="shared" ca="1" si="18"/>
        <v>1</v>
      </c>
      <c r="O426" s="6">
        <f t="shared" ca="1" si="19"/>
        <v>45456</v>
      </c>
      <c r="P426" s="2">
        <f t="shared" ca="1" si="20"/>
        <v>1</v>
      </c>
    </row>
    <row r="427" spans="1:16" x14ac:dyDescent="0.35">
      <c r="A427" s="2" t="s">
        <v>32</v>
      </c>
      <c r="B427" s="2">
        <v>2531822</v>
      </c>
      <c r="C427" s="2" t="s">
        <v>33</v>
      </c>
      <c r="D427" s="2" t="s">
        <v>21</v>
      </c>
      <c r="E427" s="2" t="s">
        <v>22</v>
      </c>
      <c r="F427" s="6" t="s">
        <v>659</v>
      </c>
      <c r="G427" s="6" t="s">
        <v>141</v>
      </c>
      <c r="I427" s="2" t="s">
        <v>264</v>
      </c>
      <c r="L427" s="2" t="s">
        <v>658</v>
      </c>
      <c r="N427" s="2">
        <f t="shared" ca="1" si="18"/>
        <v>1</v>
      </c>
      <c r="O427" s="6">
        <f t="shared" ca="1" si="19"/>
        <v>45456</v>
      </c>
      <c r="P427" s="2">
        <f t="shared" ca="1" si="20"/>
        <v>1</v>
      </c>
    </row>
    <row r="428" spans="1:16" x14ac:dyDescent="0.35">
      <c r="A428" s="2" t="s">
        <v>32</v>
      </c>
      <c r="B428" s="2">
        <v>2531849</v>
      </c>
      <c r="C428" s="2" t="s">
        <v>33</v>
      </c>
      <c r="D428" s="2" t="s">
        <v>21</v>
      </c>
      <c r="E428" s="2" t="s">
        <v>22</v>
      </c>
      <c r="F428" s="6" t="s">
        <v>659</v>
      </c>
      <c r="G428" s="6" t="s">
        <v>141</v>
      </c>
      <c r="I428" s="2" t="s">
        <v>264</v>
      </c>
      <c r="L428" s="2" t="s">
        <v>658</v>
      </c>
      <c r="N428" s="2">
        <f t="shared" ca="1" si="18"/>
        <v>1</v>
      </c>
      <c r="O428" s="6">
        <f t="shared" ca="1" si="19"/>
        <v>45456</v>
      </c>
      <c r="P428" s="2">
        <f t="shared" ca="1" si="20"/>
        <v>1</v>
      </c>
    </row>
    <row r="429" spans="1:16" x14ac:dyDescent="0.35">
      <c r="A429" s="2" t="s">
        <v>32</v>
      </c>
      <c r="B429" s="2">
        <v>2531867</v>
      </c>
      <c r="C429" s="2" t="s">
        <v>33</v>
      </c>
      <c r="D429" s="2" t="s">
        <v>21</v>
      </c>
      <c r="E429" s="2" t="s">
        <v>22</v>
      </c>
      <c r="F429" s="6" t="s">
        <v>659</v>
      </c>
      <c r="G429" s="6" t="s">
        <v>141</v>
      </c>
      <c r="I429" s="2" t="s">
        <v>264</v>
      </c>
      <c r="L429" s="2" t="s">
        <v>661</v>
      </c>
      <c r="N429" s="2">
        <f t="shared" ca="1" si="18"/>
        <v>1</v>
      </c>
      <c r="O429" s="6">
        <f t="shared" ca="1" si="19"/>
        <v>45456</v>
      </c>
      <c r="P429" s="2">
        <f t="shared" ca="1" si="20"/>
        <v>1</v>
      </c>
    </row>
    <row r="430" spans="1:16" x14ac:dyDescent="0.35">
      <c r="A430" s="2" t="s">
        <v>32</v>
      </c>
      <c r="B430" s="2">
        <v>2532120</v>
      </c>
      <c r="C430" s="2" t="s">
        <v>33</v>
      </c>
      <c r="D430" s="2" t="s">
        <v>21</v>
      </c>
      <c r="E430" s="2" t="s">
        <v>22</v>
      </c>
      <c r="F430" s="6" t="s">
        <v>659</v>
      </c>
      <c r="G430" s="6" t="s">
        <v>141</v>
      </c>
      <c r="I430" s="2" t="s">
        <v>264</v>
      </c>
      <c r="L430" s="2" t="s">
        <v>661</v>
      </c>
      <c r="N430" s="2">
        <f t="shared" ca="1" si="18"/>
        <v>1</v>
      </c>
      <c r="O430" s="6">
        <f t="shared" ca="1" si="19"/>
        <v>45456</v>
      </c>
      <c r="P430" s="2">
        <f t="shared" ca="1" si="20"/>
        <v>1</v>
      </c>
    </row>
    <row r="431" spans="1:16" x14ac:dyDescent="0.35">
      <c r="A431" s="2" t="s">
        <v>32</v>
      </c>
      <c r="B431" s="2">
        <v>2532361</v>
      </c>
      <c r="C431" s="2" t="s">
        <v>33</v>
      </c>
      <c r="D431" s="2" t="s">
        <v>21</v>
      </c>
      <c r="E431" s="2" t="s">
        <v>22</v>
      </c>
      <c r="F431" s="6" t="s">
        <v>81</v>
      </c>
      <c r="G431" s="6" t="s">
        <v>141</v>
      </c>
      <c r="I431" s="2" t="s">
        <v>264</v>
      </c>
      <c r="L431" s="2" t="s">
        <v>662</v>
      </c>
      <c r="N431" s="2">
        <f t="shared" ca="1" si="18"/>
        <v>1</v>
      </c>
      <c r="O431" s="6">
        <f t="shared" ca="1" si="19"/>
        <v>45456</v>
      </c>
      <c r="P431" s="2">
        <f t="shared" ca="1" si="20"/>
        <v>1</v>
      </c>
    </row>
    <row r="432" spans="1:16" x14ac:dyDescent="0.35">
      <c r="A432" s="2" t="s">
        <v>32</v>
      </c>
      <c r="B432" s="2">
        <v>2542816</v>
      </c>
      <c r="C432" s="2" t="s">
        <v>33</v>
      </c>
      <c r="D432" s="2" t="s">
        <v>21</v>
      </c>
      <c r="E432" s="2" t="s">
        <v>22</v>
      </c>
      <c r="F432" s="6" t="s">
        <v>664</v>
      </c>
      <c r="G432" s="6" t="s">
        <v>141</v>
      </c>
      <c r="I432" s="2" t="s">
        <v>264</v>
      </c>
      <c r="L432" s="2" t="s">
        <v>663</v>
      </c>
      <c r="N432" s="2">
        <f t="shared" ca="1" si="18"/>
        <v>1</v>
      </c>
      <c r="O432" s="6">
        <f t="shared" ca="1" si="19"/>
        <v>45456</v>
      </c>
      <c r="P432" s="2">
        <f t="shared" ca="1" si="20"/>
        <v>1</v>
      </c>
    </row>
    <row r="433" spans="1:16" x14ac:dyDescent="0.35">
      <c r="A433" s="2" t="s">
        <v>32</v>
      </c>
      <c r="B433" s="2">
        <v>2542879</v>
      </c>
      <c r="C433" s="2" t="s">
        <v>33</v>
      </c>
      <c r="D433" s="2" t="s">
        <v>21</v>
      </c>
      <c r="E433" s="2" t="s">
        <v>22</v>
      </c>
      <c r="F433" s="6" t="s">
        <v>664</v>
      </c>
      <c r="G433" s="6" t="s">
        <v>141</v>
      </c>
      <c r="I433" s="2" t="s">
        <v>264</v>
      </c>
      <c r="L433" s="2" t="s">
        <v>665</v>
      </c>
      <c r="N433" s="2">
        <f t="shared" ca="1" si="18"/>
        <v>1</v>
      </c>
      <c r="O433" s="6">
        <f t="shared" ca="1" si="19"/>
        <v>45456</v>
      </c>
      <c r="P433" s="2">
        <f t="shared" ca="1" si="20"/>
        <v>1</v>
      </c>
    </row>
    <row r="434" spans="1:16" x14ac:dyDescent="0.35">
      <c r="A434" s="2" t="s">
        <v>32</v>
      </c>
      <c r="B434" s="2">
        <v>2562429</v>
      </c>
      <c r="C434" s="2" t="s">
        <v>33</v>
      </c>
      <c r="D434" s="2" t="s">
        <v>21</v>
      </c>
      <c r="E434" s="2" t="s">
        <v>22</v>
      </c>
      <c r="F434" s="6" t="s">
        <v>58</v>
      </c>
      <c r="G434" s="6" t="s">
        <v>141</v>
      </c>
      <c r="I434" s="2" t="s">
        <v>264</v>
      </c>
      <c r="L434" s="2" t="s">
        <v>661</v>
      </c>
      <c r="N434" s="2">
        <f t="shared" ca="1" si="18"/>
        <v>1</v>
      </c>
      <c r="O434" s="6">
        <f t="shared" ca="1" si="19"/>
        <v>45456</v>
      </c>
      <c r="P434" s="2">
        <f t="shared" ca="1" si="20"/>
        <v>1</v>
      </c>
    </row>
    <row r="435" spans="1:16" x14ac:dyDescent="0.35">
      <c r="A435" s="2" t="s">
        <v>32</v>
      </c>
      <c r="B435" s="2">
        <v>2574389</v>
      </c>
      <c r="C435" s="2" t="s">
        <v>33</v>
      </c>
      <c r="D435" s="2" t="s">
        <v>21</v>
      </c>
      <c r="E435" s="2" t="s">
        <v>22</v>
      </c>
      <c r="F435" s="6" t="s">
        <v>477</v>
      </c>
      <c r="G435" s="6" t="s">
        <v>141</v>
      </c>
      <c r="I435" s="2" t="s">
        <v>264</v>
      </c>
      <c r="L435" s="2" t="s">
        <v>660</v>
      </c>
      <c r="N435" s="2">
        <f t="shared" ca="1" si="18"/>
        <v>1</v>
      </c>
      <c r="O435" s="6">
        <f t="shared" ca="1" si="19"/>
        <v>45456</v>
      </c>
      <c r="P435" s="2">
        <f t="shared" ca="1" si="20"/>
        <v>1</v>
      </c>
    </row>
    <row r="436" spans="1:16" x14ac:dyDescent="0.35">
      <c r="A436" s="2" t="s">
        <v>32</v>
      </c>
      <c r="B436" s="2">
        <v>2574397</v>
      </c>
      <c r="C436" s="2" t="s">
        <v>33</v>
      </c>
      <c r="D436" s="2" t="s">
        <v>21</v>
      </c>
      <c r="E436" s="2" t="s">
        <v>22</v>
      </c>
      <c r="F436" s="6" t="s">
        <v>477</v>
      </c>
      <c r="G436" s="6" t="s">
        <v>141</v>
      </c>
      <c r="I436" s="2" t="s">
        <v>264</v>
      </c>
      <c r="L436" s="2" t="s">
        <v>663</v>
      </c>
      <c r="N436" s="2">
        <f t="shared" ca="1" si="18"/>
        <v>1</v>
      </c>
      <c r="O436" s="6">
        <f t="shared" ca="1" si="19"/>
        <v>45456</v>
      </c>
      <c r="P436" s="2">
        <f t="shared" ca="1" si="20"/>
        <v>1</v>
      </c>
    </row>
    <row r="437" spans="1:16" x14ac:dyDescent="0.35">
      <c r="A437" s="2" t="s">
        <v>32</v>
      </c>
      <c r="B437" s="2">
        <v>2574416</v>
      </c>
      <c r="C437" s="2" t="s">
        <v>33</v>
      </c>
      <c r="D437" s="2" t="s">
        <v>21</v>
      </c>
      <c r="E437" s="2" t="s">
        <v>22</v>
      </c>
      <c r="F437" s="6" t="s">
        <v>477</v>
      </c>
      <c r="G437" s="6" t="s">
        <v>141</v>
      </c>
      <c r="I437" s="2" t="s">
        <v>264</v>
      </c>
      <c r="L437" s="2" t="s">
        <v>665</v>
      </c>
      <c r="N437" s="2">
        <f t="shared" ca="1" si="18"/>
        <v>1</v>
      </c>
      <c r="O437" s="6">
        <f t="shared" ca="1" si="19"/>
        <v>45456</v>
      </c>
      <c r="P437" s="2">
        <f t="shared" ca="1" si="20"/>
        <v>1</v>
      </c>
    </row>
    <row r="438" spans="1:16" x14ac:dyDescent="0.35">
      <c r="A438" s="2" t="s">
        <v>32</v>
      </c>
      <c r="B438" s="2">
        <v>2574435</v>
      </c>
      <c r="C438" s="2" t="s">
        <v>33</v>
      </c>
      <c r="D438" s="2" t="s">
        <v>21</v>
      </c>
      <c r="E438" s="2" t="s">
        <v>22</v>
      </c>
      <c r="F438" s="6" t="s">
        <v>477</v>
      </c>
      <c r="G438" s="6" t="s">
        <v>141</v>
      </c>
      <c r="I438" s="2" t="s">
        <v>264</v>
      </c>
      <c r="L438" s="2" t="s">
        <v>661</v>
      </c>
      <c r="N438" s="2">
        <f t="shared" ca="1" si="18"/>
        <v>1</v>
      </c>
      <c r="O438" s="6">
        <f t="shared" ca="1" si="19"/>
        <v>45456</v>
      </c>
      <c r="P438" s="2">
        <f t="shared" ca="1" si="20"/>
        <v>1</v>
      </c>
    </row>
    <row r="439" spans="1:16" x14ac:dyDescent="0.35">
      <c r="A439" s="2" t="s">
        <v>32</v>
      </c>
      <c r="B439" s="2">
        <v>2600742</v>
      </c>
      <c r="C439" s="2" t="s">
        <v>33</v>
      </c>
      <c r="D439" s="2" t="s">
        <v>21</v>
      </c>
      <c r="E439" s="2" t="s">
        <v>22</v>
      </c>
      <c r="F439" s="6" t="s">
        <v>134</v>
      </c>
      <c r="G439" s="6" t="s">
        <v>141</v>
      </c>
      <c r="I439" s="2" t="s">
        <v>264</v>
      </c>
      <c r="L439" s="2" t="s">
        <v>661</v>
      </c>
      <c r="N439" s="2">
        <f t="shared" ca="1" si="18"/>
        <v>1</v>
      </c>
      <c r="O439" s="6">
        <f t="shared" ca="1" si="19"/>
        <v>45456</v>
      </c>
      <c r="P439" s="2">
        <f t="shared" ca="1" si="20"/>
        <v>1</v>
      </c>
    </row>
    <row r="440" spans="1:16" x14ac:dyDescent="0.35">
      <c r="A440" s="2" t="s">
        <v>32</v>
      </c>
      <c r="B440" s="2">
        <v>2605120</v>
      </c>
      <c r="C440" s="2" t="s">
        <v>33</v>
      </c>
      <c r="D440" s="2" t="s">
        <v>21</v>
      </c>
      <c r="E440" s="2" t="s">
        <v>22</v>
      </c>
      <c r="F440" s="6" t="s">
        <v>133</v>
      </c>
      <c r="G440" s="6" t="s">
        <v>141</v>
      </c>
      <c r="I440" s="2" t="s">
        <v>264</v>
      </c>
      <c r="L440" s="2" t="s">
        <v>666</v>
      </c>
      <c r="N440" s="2">
        <f t="shared" ca="1" si="18"/>
        <v>1</v>
      </c>
      <c r="O440" s="6">
        <f t="shared" ca="1" si="19"/>
        <v>45456</v>
      </c>
      <c r="P440" s="2">
        <f t="shared" ca="1" si="20"/>
        <v>1</v>
      </c>
    </row>
    <row r="441" spans="1:16" x14ac:dyDescent="0.35">
      <c r="A441" s="2" t="s">
        <v>32</v>
      </c>
      <c r="B441" s="2">
        <v>2607994</v>
      </c>
      <c r="C441" s="2" t="s">
        <v>33</v>
      </c>
      <c r="D441" s="2" t="s">
        <v>21</v>
      </c>
      <c r="E441" s="2" t="s">
        <v>22</v>
      </c>
      <c r="F441" s="6" t="s">
        <v>131</v>
      </c>
      <c r="G441" s="6" t="s">
        <v>141</v>
      </c>
      <c r="I441" s="2" t="s">
        <v>264</v>
      </c>
      <c r="L441" s="2" t="s">
        <v>667</v>
      </c>
      <c r="N441" s="2">
        <f t="shared" ca="1" si="18"/>
        <v>1</v>
      </c>
      <c r="O441" s="6">
        <f t="shared" ca="1" si="19"/>
        <v>45456</v>
      </c>
      <c r="P441" s="2">
        <f t="shared" ca="1" si="20"/>
        <v>1</v>
      </c>
    </row>
    <row r="442" spans="1:16" x14ac:dyDescent="0.35">
      <c r="A442" s="2" t="s">
        <v>32</v>
      </c>
      <c r="B442" s="2">
        <v>2608852</v>
      </c>
      <c r="C442" s="2" t="s">
        <v>33</v>
      </c>
      <c r="D442" s="2" t="s">
        <v>21</v>
      </c>
      <c r="E442" s="2" t="s">
        <v>22</v>
      </c>
      <c r="F442" s="6" t="s">
        <v>131</v>
      </c>
      <c r="G442" s="6" t="s">
        <v>141</v>
      </c>
      <c r="I442" s="2" t="s">
        <v>264</v>
      </c>
      <c r="L442" s="2" t="s">
        <v>668</v>
      </c>
      <c r="N442" s="2">
        <f t="shared" ca="1" si="18"/>
        <v>1</v>
      </c>
      <c r="O442" s="6">
        <f t="shared" ca="1" si="19"/>
        <v>45456</v>
      </c>
      <c r="P442" s="2">
        <f t="shared" ca="1" si="20"/>
        <v>1</v>
      </c>
    </row>
    <row r="443" spans="1:16" x14ac:dyDescent="0.35">
      <c r="A443" s="2" t="s">
        <v>32</v>
      </c>
      <c r="B443" s="2">
        <v>2608914</v>
      </c>
      <c r="C443" s="2" t="s">
        <v>33</v>
      </c>
      <c r="D443" s="2" t="s">
        <v>21</v>
      </c>
      <c r="E443" s="2" t="s">
        <v>22</v>
      </c>
      <c r="F443" s="6" t="s">
        <v>131</v>
      </c>
      <c r="G443" s="6" t="s">
        <v>141</v>
      </c>
      <c r="I443" s="2" t="s">
        <v>264</v>
      </c>
      <c r="L443" s="2" t="s">
        <v>668</v>
      </c>
      <c r="N443" s="2">
        <f t="shared" ca="1" si="18"/>
        <v>1</v>
      </c>
      <c r="O443" s="6">
        <f t="shared" ca="1" si="19"/>
        <v>45456</v>
      </c>
      <c r="P443" s="2">
        <f t="shared" ca="1" si="20"/>
        <v>1</v>
      </c>
    </row>
    <row r="444" spans="1:16" x14ac:dyDescent="0.35">
      <c r="A444" s="2" t="s">
        <v>32</v>
      </c>
      <c r="B444" s="2">
        <v>2608943</v>
      </c>
      <c r="C444" s="2" t="s">
        <v>33</v>
      </c>
      <c r="D444" s="2" t="s">
        <v>21</v>
      </c>
      <c r="E444" s="2" t="s">
        <v>22</v>
      </c>
      <c r="F444" s="6" t="s">
        <v>131</v>
      </c>
      <c r="G444" s="6" t="s">
        <v>141</v>
      </c>
      <c r="I444" s="2" t="s">
        <v>264</v>
      </c>
      <c r="L444" s="2" t="s">
        <v>668</v>
      </c>
      <c r="N444" s="2">
        <f t="shared" ca="1" si="18"/>
        <v>1</v>
      </c>
      <c r="O444" s="6">
        <f t="shared" ca="1" si="19"/>
        <v>45456</v>
      </c>
      <c r="P444" s="2">
        <f t="shared" ca="1" si="20"/>
        <v>1</v>
      </c>
    </row>
    <row r="445" spans="1:16" x14ac:dyDescent="0.35">
      <c r="A445" s="2" t="s">
        <v>32</v>
      </c>
      <c r="B445" s="2">
        <v>2608979</v>
      </c>
      <c r="C445" s="2" t="s">
        <v>33</v>
      </c>
      <c r="D445" s="2" t="s">
        <v>21</v>
      </c>
      <c r="E445" s="2" t="s">
        <v>22</v>
      </c>
      <c r="F445" s="6" t="s">
        <v>131</v>
      </c>
      <c r="G445" s="6" t="s">
        <v>141</v>
      </c>
      <c r="I445" s="2" t="s">
        <v>264</v>
      </c>
      <c r="L445" s="2" t="s">
        <v>669</v>
      </c>
      <c r="N445" s="2">
        <f t="shared" ca="1" si="18"/>
        <v>1</v>
      </c>
      <c r="O445" s="6">
        <f t="shared" ca="1" si="19"/>
        <v>45456</v>
      </c>
      <c r="P445" s="2">
        <f t="shared" ca="1" si="20"/>
        <v>1</v>
      </c>
    </row>
    <row r="446" spans="1:16" x14ac:dyDescent="0.35">
      <c r="A446" s="2" t="s">
        <v>32</v>
      </c>
      <c r="B446" s="2">
        <v>2609606</v>
      </c>
      <c r="C446" s="2" t="s">
        <v>33</v>
      </c>
      <c r="D446" s="2" t="s">
        <v>21</v>
      </c>
      <c r="E446" s="2" t="s">
        <v>22</v>
      </c>
      <c r="F446" s="6" t="s">
        <v>131</v>
      </c>
      <c r="G446" s="6" t="s">
        <v>141</v>
      </c>
      <c r="I446" s="2" t="s">
        <v>264</v>
      </c>
      <c r="L446" s="2" t="s">
        <v>478</v>
      </c>
      <c r="N446" s="2">
        <f t="shared" ca="1" si="18"/>
        <v>1</v>
      </c>
      <c r="O446" s="6">
        <f t="shared" ca="1" si="19"/>
        <v>45456</v>
      </c>
      <c r="P446" s="2">
        <f t="shared" ca="1" si="20"/>
        <v>1</v>
      </c>
    </row>
    <row r="447" spans="1:16" x14ac:dyDescent="0.35">
      <c r="A447" s="2" t="s">
        <v>32</v>
      </c>
      <c r="B447" s="2">
        <v>2611149</v>
      </c>
      <c r="C447" s="2" t="s">
        <v>33</v>
      </c>
      <c r="D447" s="2" t="s">
        <v>21</v>
      </c>
      <c r="E447" s="2" t="s">
        <v>22</v>
      </c>
      <c r="F447" s="6" t="s">
        <v>98</v>
      </c>
      <c r="G447" s="6" t="s">
        <v>141</v>
      </c>
      <c r="I447" s="2" t="s">
        <v>264</v>
      </c>
      <c r="L447" s="2" t="s">
        <v>462</v>
      </c>
      <c r="N447" s="2">
        <f t="shared" ca="1" si="18"/>
        <v>1</v>
      </c>
      <c r="O447" s="6">
        <f t="shared" ca="1" si="19"/>
        <v>45456</v>
      </c>
      <c r="P447" s="2">
        <f t="shared" ca="1" si="20"/>
        <v>1</v>
      </c>
    </row>
    <row r="448" spans="1:16" x14ac:dyDescent="0.35">
      <c r="A448" s="2" t="s">
        <v>32</v>
      </c>
      <c r="B448" s="2">
        <v>2611183</v>
      </c>
      <c r="C448" s="2" t="s">
        <v>33</v>
      </c>
      <c r="D448" s="2" t="s">
        <v>21</v>
      </c>
      <c r="E448" s="2" t="s">
        <v>22</v>
      </c>
      <c r="F448" s="6" t="s">
        <v>98</v>
      </c>
      <c r="G448" s="6" t="s">
        <v>141</v>
      </c>
      <c r="I448" s="2" t="s">
        <v>264</v>
      </c>
      <c r="L448" s="2" t="s">
        <v>670</v>
      </c>
      <c r="N448" s="2">
        <f t="shared" ca="1" si="18"/>
        <v>1</v>
      </c>
      <c r="O448" s="6">
        <f t="shared" ca="1" si="19"/>
        <v>45456</v>
      </c>
      <c r="P448" s="2">
        <f t="shared" ca="1" si="20"/>
        <v>1</v>
      </c>
    </row>
    <row r="449" spans="1:16" x14ac:dyDescent="0.35">
      <c r="A449" s="2" t="s">
        <v>32</v>
      </c>
      <c r="B449" s="2">
        <v>2611299</v>
      </c>
      <c r="C449" s="2" t="s">
        <v>33</v>
      </c>
      <c r="D449" s="2" t="s">
        <v>21</v>
      </c>
      <c r="E449" s="2" t="s">
        <v>22</v>
      </c>
      <c r="F449" s="6" t="s">
        <v>98</v>
      </c>
      <c r="G449" s="6" t="s">
        <v>141</v>
      </c>
      <c r="I449" s="2" t="s">
        <v>264</v>
      </c>
      <c r="L449" s="2" t="s">
        <v>665</v>
      </c>
      <c r="N449" s="2">
        <f t="shared" ca="1" si="18"/>
        <v>1</v>
      </c>
      <c r="O449" s="6">
        <f t="shared" ca="1" si="19"/>
        <v>45456</v>
      </c>
      <c r="P449" s="2">
        <f t="shared" ca="1" si="20"/>
        <v>1</v>
      </c>
    </row>
    <row r="450" spans="1:16" x14ac:dyDescent="0.35">
      <c r="A450" s="2" t="s">
        <v>32</v>
      </c>
      <c r="B450" s="2">
        <v>2619936</v>
      </c>
      <c r="C450" s="2" t="s">
        <v>33</v>
      </c>
      <c r="D450" s="2" t="s">
        <v>21</v>
      </c>
      <c r="E450" s="2" t="s">
        <v>22</v>
      </c>
      <c r="F450" s="6" t="s">
        <v>672</v>
      </c>
      <c r="G450" s="6" t="s">
        <v>141</v>
      </c>
      <c r="I450" s="2" t="s">
        <v>264</v>
      </c>
      <c r="L450" s="2" t="s">
        <v>671</v>
      </c>
      <c r="N450" s="2">
        <f t="shared" ca="1" si="18"/>
        <v>1</v>
      </c>
      <c r="O450" s="6">
        <f t="shared" ca="1" si="19"/>
        <v>45456</v>
      </c>
      <c r="P450" s="2">
        <f t="shared" ca="1" si="20"/>
        <v>1</v>
      </c>
    </row>
    <row r="451" spans="1:16" x14ac:dyDescent="0.35">
      <c r="A451" s="2" t="s">
        <v>32</v>
      </c>
      <c r="B451" s="2">
        <v>2619967</v>
      </c>
      <c r="C451" s="2" t="s">
        <v>33</v>
      </c>
      <c r="D451" s="2" t="s">
        <v>21</v>
      </c>
      <c r="E451" s="2" t="s">
        <v>22</v>
      </c>
      <c r="F451" s="6" t="s">
        <v>672</v>
      </c>
      <c r="G451" s="6" t="s">
        <v>141</v>
      </c>
      <c r="I451" s="2" t="s">
        <v>264</v>
      </c>
      <c r="L451" s="2" t="s">
        <v>673</v>
      </c>
      <c r="N451" s="2">
        <f t="shared" ref="N451:N514" ca="1" si="21">IF(G451 &lt; TODAY(), -NETWORKDAYS(G451, TODAY()), NETWORKDAYS(TODAY(), G451))</f>
        <v>1</v>
      </c>
      <c r="O451" s="6">
        <f t="shared" ref="O451:O514" ca="1" si="22">TODAY()</f>
        <v>45456</v>
      </c>
      <c r="P451" s="2">
        <f t="shared" ref="P451:P514" ca="1" si="23">NETWORKDAYS(O451,TODAY())</f>
        <v>1</v>
      </c>
    </row>
    <row r="452" spans="1:16" x14ac:dyDescent="0.35">
      <c r="A452" s="2" t="s">
        <v>32</v>
      </c>
      <c r="B452" s="2">
        <v>2619985</v>
      </c>
      <c r="C452" s="2" t="s">
        <v>33</v>
      </c>
      <c r="D452" s="2" t="s">
        <v>21</v>
      </c>
      <c r="E452" s="2" t="s">
        <v>22</v>
      </c>
      <c r="F452" s="6" t="s">
        <v>672</v>
      </c>
      <c r="G452" s="6" t="s">
        <v>141</v>
      </c>
      <c r="I452" s="2" t="s">
        <v>264</v>
      </c>
      <c r="L452" s="2" t="s">
        <v>674</v>
      </c>
      <c r="N452" s="2">
        <f t="shared" ca="1" si="21"/>
        <v>1</v>
      </c>
      <c r="O452" s="6">
        <f t="shared" ca="1" si="22"/>
        <v>45456</v>
      </c>
      <c r="P452" s="2">
        <f t="shared" ca="1" si="23"/>
        <v>1</v>
      </c>
    </row>
    <row r="453" spans="1:16" x14ac:dyDescent="0.35">
      <c r="A453" s="2" t="s">
        <v>32</v>
      </c>
      <c r="B453" s="2">
        <v>2619989</v>
      </c>
      <c r="C453" s="2" t="s">
        <v>33</v>
      </c>
      <c r="D453" s="2" t="s">
        <v>21</v>
      </c>
      <c r="E453" s="2" t="s">
        <v>22</v>
      </c>
      <c r="F453" s="6" t="s">
        <v>672</v>
      </c>
      <c r="G453" s="6" t="s">
        <v>141</v>
      </c>
      <c r="I453" s="2" t="s">
        <v>264</v>
      </c>
      <c r="L453" s="2" t="s">
        <v>303</v>
      </c>
      <c r="N453" s="2">
        <f t="shared" ca="1" si="21"/>
        <v>1</v>
      </c>
      <c r="O453" s="6">
        <f t="shared" ca="1" si="22"/>
        <v>45456</v>
      </c>
      <c r="P453" s="2">
        <f t="shared" ca="1" si="23"/>
        <v>1</v>
      </c>
    </row>
    <row r="454" spans="1:16" x14ac:dyDescent="0.35">
      <c r="A454" s="2" t="s">
        <v>32</v>
      </c>
      <c r="B454" s="2">
        <v>2620001</v>
      </c>
      <c r="C454" s="2" t="s">
        <v>33</v>
      </c>
      <c r="D454" s="2" t="s">
        <v>21</v>
      </c>
      <c r="E454" s="2" t="s">
        <v>22</v>
      </c>
      <c r="F454" s="6" t="s">
        <v>672</v>
      </c>
      <c r="G454" s="6" t="s">
        <v>141</v>
      </c>
      <c r="I454" s="2" t="s">
        <v>264</v>
      </c>
      <c r="L454" s="2" t="s">
        <v>304</v>
      </c>
      <c r="N454" s="2">
        <f t="shared" ca="1" si="21"/>
        <v>1</v>
      </c>
      <c r="O454" s="6">
        <f t="shared" ca="1" si="22"/>
        <v>45456</v>
      </c>
      <c r="P454" s="2">
        <f t="shared" ca="1" si="23"/>
        <v>1</v>
      </c>
    </row>
    <row r="455" spans="1:16" x14ac:dyDescent="0.35">
      <c r="A455" s="2" t="s">
        <v>32</v>
      </c>
      <c r="B455" s="2">
        <v>2633642</v>
      </c>
      <c r="C455" s="2" t="s">
        <v>33</v>
      </c>
      <c r="D455" s="2" t="s">
        <v>21</v>
      </c>
      <c r="E455" s="2" t="s">
        <v>22</v>
      </c>
      <c r="F455" s="6" t="s">
        <v>107</v>
      </c>
      <c r="G455" s="6" t="s">
        <v>141</v>
      </c>
      <c r="I455" s="2" t="s">
        <v>264</v>
      </c>
      <c r="L455" s="2" t="s">
        <v>675</v>
      </c>
      <c r="N455" s="2">
        <f t="shared" ca="1" si="21"/>
        <v>1</v>
      </c>
      <c r="O455" s="6">
        <f t="shared" ca="1" si="22"/>
        <v>45456</v>
      </c>
      <c r="P455" s="2">
        <f t="shared" ca="1" si="23"/>
        <v>1</v>
      </c>
    </row>
    <row r="456" spans="1:16" x14ac:dyDescent="0.35">
      <c r="A456" s="2" t="s">
        <v>32</v>
      </c>
      <c r="B456" s="2">
        <v>2633990</v>
      </c>
      <c r="C456" s="2" t="s">
        <v>33</v>
      </c>
      <c r="D456" s="2" t="s">
        <v>21</v>
      </c>
      <c r="E456" s="2" t="s">
        <v>22</v>
      </c>
      <c r="F456" s="6" t="s">
        <v>107</v>
      </c>
      <c r="G456" s="6" t="s">
        <v>141</v>
      </c>
      <c r="I456" s="2" t="s">
        <v>264</v>
      </c>
      <c r="L456" s="2" t="s">
        <v>676</v>
      </c>
      <c r="N456" s="2">
        <f t="shared" ca="1" si="21"/>
        <v>1</v>
      </c>
      <c r="O456" s="6">
        <f t="shared" ca="1" si="22"/>
        <v>45456</v>
      </c>
      <c r="P456" s="2">
        <f t="shared" ca="1" si="23"/>
        <v>1</v>
      </c>
    </row>
    <row r="457" spans="1:16" x14ac:dyDescent="0.35">
      <c r="A457" s="2" t="s">
        <v>32</v>
      </c>
      <c r="B457" s="2">
        <v>2644561</v>
      </c>
      <c r="C457" s="2" t="s">
        <v>33</v>
      </c>
      <c r="D457" s="2" t="s">
        <v>21</v>
      </c>
      <c r="E457" s="2" t="s">
        <v>22</v>
      </c>
      <c r="F457" s="6" t="s">
        <v>128</v>
      </c>
      <c r="G457" s="6" t="s">
        <v>141</v>
      </c>
      <c r="I457" s="2" t="s">
        <v>264</v>
      </c>
      <c r="L457" s="2" t="s">
        <v>266</v>
      </c>
      <c r="N457" s="2">
        <f t="shared" ca="1" si="21"/>
        <v>1</v>
      </c>
      <c r="O457" s="6">
        <f t="shared" ca="1" si="22"/>
        <v>45456</v>
      </c>
      <c r="P457" s="2">
        <f t="shared" ca="1" si="23"/>
        <v>1</v>
      </c>
    </row>
    <row r="458" spans="1:16" x14ac:dyDescent="0.35">
      <c r="A458" s="2" t="s">
        <v>32</v>
      </c>
      <c r="B458" s="2">
        <v>2795044</v>
      </c>
      <c r="C458" s="2" t="s">
        <v>33</v>
      </c>
      <c r="D458" s="2" t="s">
        <v>21</v>
      </c>
      <c r="E458" s="2" t="s">
        <v>22</v>
      </c>
      <c r="F458" s="6" t="s">
        <v>95</v>
      </c>
      <c r="G458" s="6" t="s">
        <v>141</v>
      </c>
      <c r="I458" s="2" t="s">
        <v>264</v>
      </c>
      <c r="L458" s="2" t="s">
        <v>677</v>
      </c>
      <c r="N458" s="2">
        <f t="shared" ca="1" si="21"/>
        <v>1</v>
      </c>
      <c r="O458" s="6">
        <f t="shared" ca="1" si="22"/>
        <v>45456</v>
      </c>
      <c r="P458" s="2">
        <f t="shared" ca="1" si="23"/>
        <v>1</v>
      </c>
    </row>
    <row r="459" spans="1:16" x14ac:dyDescent="0.35">
      <c r="A459" s="2" t="s">
        <v>32</v>
      </c>
      <c r="B459" s="2">
        <v>2809340</v>
      </c>
      <c r="C459" s="2" t="s">
        <v>33</v>
      </c>
      <c r="D459" s="2" t="s">
        <v>21</v>
      </c>
      <c r="E459" s="2" t="s">
        <v>22</v>
      </c>
      <c r="F459" s="6" t="s">
        <v>679</v>
      </c>
      <c r="G459" s="6" t="s">
        <v>141</v>
      </c>
      <c r="I459" s="2" t="s">
        <v>264</v>
      </c>
      <c r="L459" s="2" t="s">
        <v>678</v>
      </c>
      <c r="N459" s="2">
        <f t="shared" ca="1" si="21"/>
        <v>1</v>
      </c>
      <c r="O459" s="6">
        <f t="shared" ca="1" si="22"/>
        <v>45456</v>
      </c>
      <c r="P459" s="2">
        <f t="shared" ca="1" si="23"/>
        <v>1</v>
      </c>
    </row>
    <row r="460" spans="1:16" x14ac:dyDescent="0.35">
      <c r="A460" s="2" t="s">
        <v>32</v>
      </c>
      <c r="B460" s="2">
        <v>2825175</v>
      </c>
      <c r="C460" s="2" t="s">
        <v>33</v>
      </c>
      <c r="D460" s="2" t="s">
        <v>21</v>
      </c>
      <c r="E460" s="2" t="s">
        <v>22</v>
      </c>
      <c r="F460" s="6" t="s">
        <v>679</v>
      </c>
      <c r="G460" s="6" t="s">
        <v>141</v>
      </c>
      <c r="I460" s="2" t="s">
        <v>264</v>
      </c>
      <c r="L460" s="2" t="s">
        <v>680</v>
      </c>
      <c r="N460" s="2">
        <f t="shared" ca="1" si="21"/>
        <v>1</v>
      </c>
      <c r="O460" s="6">
        <f t="shared" ca="1" si="22"/>
        <v>45456</v>
      </c>
      <c r="P460" s="2">
        <f t="shared" ca="1" si="23"/>
        <v>1</v>
      </c>
    </row>
    <row r="461" spans="1:16" x14ac:dyDescent="0.35">
      <c r="A461" s="2" t="s">
        <v>32</v>
      </c>
      <c r="B461" s="2">
        <v>2871315</v>
      </c>
      <c r="C461" s="2" t="s">
        <v>33</v>
      </c>
      <c r="D461" s="2" t="s">
        <v>21</v>
      </c>
      <c r="E461" s="2" t="s">
        <v>22</v>
      </c>
      <c r="F461" s="6" t="s">
        <v>135</v>
      </c>
      <c r="G461" s="6" t="s">
        <v>141</v>
      </c>
      <c r="I461" s="2" t="s">
        <v>264</v>
      </c>
      <c r="L461" s="2" t="s">
        <v>267</v>
      </c>
      <c r="N461" s="2">
        <f t="shared" ca="1" si="21"/>
        <v>1</v>
      </c>
      <c r="O461" s="6">
        <f t="shared" ca="1" si="22"/>
        <v>45456</v>
      </c>
      <c r="P461" s="2">
        <f t="shared" ca="1" si="23"/>
        <v>1</v>
      </c>
    </row>
    <row r="462" spans="1:16" x14ac:dyDescent="0.35">
      <c r="A462" s="2" t="s">
        <v>32</v>
      </c>
      <c r="B462" s="2">
        <v>2871320</v>
      </c>
      <c r="C462" s="2" t="s">
        <v>33</v>
      </c>
      <c r="D462" s="2" t="s">
        <v>21</v>
      </c>
      <c r="E462" s="2" t="s">
        <v>22</v>
      </c>
      <c r="F462" s="6" t="s">
        <v>135</v>
      </c>
      <c r="G462" s="6" t="s">
        <v>141</v>
      </c>
      <c r="I462" s="2" t="s">
        <v>264</v>
      </c>
      <c r="L462" s="2" t="s">
        <v>681</v>
      </c>
      <c r="N462" s="2">
        <f t="shared" ca="1" si="21"/>
        <v>1</v>
      </c>
      <c r="O462" s="6">
        <f t="shared" ca="1" si="22"/>
        <v>45456</v>
      </c>
      <c r="P462" s="2">
        <f t="shared" ca="1" si="23"/>
        <v>1</v>
      </c>
    </row>
    <row r="463" spans="1:16" x14ac:dyDescent="0.35">
      <c r="A463" s="2" t="s">
        <v>32</v>
      </c>
      <c r="B463" s="2">
        <v>2871908</v>
      </c>
      <c r="C463" s="2" t="s">
        <v>33</v>
      </c>
      <c r="D463" s="2" t="s">
        <v>21</v>
      </c>
      <c r="E463" s="2" t="s">
        <v>22</v>
      </c>
      <c r="F463" s="6" t="s">
        <v>135</v>
      </c>
      <c r="G463" s="6" t="s">
        <v>141</v>
      </c>
      <c r="I463" s="2" t="s">
        <v>264</v>
      </c>
      <c r="L463" s="2" t="s">
        <v>682</v>
      </c>
      <c r="N463" s="2">
        <f t="shared" ca="1" si="21"/>
        <v>1</v>
      </c>
      <c r="O463" s="6">
        <f t="shared" ca="1" si="22"/>
        <v>45456</v>
      </c>
      <c r="P463" s="2">
        <f t="shared" ca="1" si="23"/>
        <v>1</v>
      </c>
    </row>
    <row r="464" spans="1:16" x14ac:dyDescent="0.35">
      <c r="A464" s="2" t="s">
        <v>32</v>
      </c>
      <c r="B464" s="2">
        <v>2873137</v>
      </c>
      <c r="C464" s="2" t="s">
        <v>33</v>
      </c>
      <c r="D464" s="2" t="s">
        <v>21</v>
      </c>
      <c r="E464" s="2" t="s">
        <v>22</v>
      </c>
      <c r="F464" s="6" t="s">
        <v>135</v>
      </c>
      <c r="G464" s="6" t="s">
        <v>141</v>
      </c>
      <c r="I464" s="2" t="s">
        <v>264</v>
      </c>
      <c r="L464" s="2" t="s">
        <v>683</v>
      </c>
      <c r="N464" s="2">
        <f t="shared" ca="1" si="21"/>
        <v>1</v>
      </c>
      <c r="O464" s="6">
        <f t="shared" ca="1" si="22"/>
        <v>45456</v>
      </c>
      <c r="P464" s="2">
        <f t="shared" ca="1" si="23"/>
        <v>1</v>
      </c>
    </row>
    <row r="465" spans="1:16" x14ac:dyDescent="0.35">
      <c r="A465" s="2" t="s">
        <v>32</v>
      </c>
      <c r="B465" s="2">
        <v>2874551</v>
      </c>
      <c r="C465" s="2" t="s">
        <v>33</v>
      </c>
      <c r="D465" s="2" t="s">
        <v>21</v>
      </c>
      <c r="E465" s="2" t="s">
        <v>22</v>
      </c>
      <c r="F465" s="6" t="s">
        <v>139</v>
      </c>
      <c r="G465" s="6" t="s">
        <v>141</v>
      </c>
      <c r="I465" s="2" t="s">
        <v>264</v>
      </c>
      <c r="L465" s="2" t="s">
        <v>684</v>
      </c>
      <c r="N465" s="2">
        <f t="shared" ca="1" si="21"/>
        <v>1</v>
      </c>
      <c r="O465" s="6">
        <f t="shared" ca="1" si="22"/>
        <v>45456</v>
      </c>
      <c r="P465" s="2">
        <f t="shared" ca="1" si="23"/>
        <v>1</v>
      </c>
    </row>
    <row r="466" spans="1:16" x14ac:dyDescent="0.35">
      <c r="A466" s="2" t="s">
        <v>32</v>
      </c>
      <c r="B466" s="2">
        <v>2874788</v>
      </c>
      <c r="C466" s="2" t="s">
        <v>33</v>
      </c>
      <c r="D466" s="2" t="s">
        <v>21</v>
      </c>
      <c r="E466" s="2" t="s">
        <v>22</v>
      </c>
      <c r="F466" s="6" t="s">
        <v>139</v>
      </c>
      <c r="G466" s="6" t="s">
        <v>141</v>
      </c>
      <c r="I466" s="2" t="s">
        <v>264</v>
      </c>
      <c r="L466" s="2" t="s">
        <v>685</v>
      </c>
      <c r="N466" s="2">
        <f t="shared" ca="1" si="21"/>
        <v>1</v>
      </c>
      <c r="O466" s="6">
        <f t="shared" ca="1" si="22"/>
        <v>45456</v>
      </c>
      <c r="P466" s="2">
        <f t="shared" ca="1" si="23"/>
        <v>1</v>
      </c>
    </row>
    <row r="467" spans="1:16" x14ac:dyDescent="0.35">
      <c r="A467" s="2" t="s">
        <v>32</v>
      </c>
      <c r="B467" s="2">
        <v>2874799</v>
      </c>
      <c r="C467" s="2" t="s">
        <v>33</v>
      </c>
      <c r="D467" s="2" t="s">
        <v>21</v>
      </c>
      <c r="E467" s="2" t="s">
        <v>22</v>
      </c>
      <c r="F467" s="6" t="s">
        <v>139</v>
      </c>
      <c r="G467" s="6" t="s">
        <v>141</v>
      </c>
      <c r="I467" s="2" t="s">
        <v>264</v>
      </c>
      <c r="L467" s="2" t="s">
        <v>686</v>
      </c>
      <c r="N467" s="2">
        <f t="shared" ca="1" si="21"/>
        <v>1</v>
      </c>
      <c r="O467" s="6">
        <f t="shared" ca="1" si="22"/>
        <v>45456</v>
      </c>
      <c r="P467" s="2">
        <f t="shared" ca="1" si="23"/>
        <v>1</v>
      </c>
    </row>
    <row r="468" spans="1:16" x14ac:dyDescent="0.35">
      <c r="A468" s="2" t="s">
        <v>32</v>
      </c>
      <c r="B468" s="2">
        <v>2874930</v>
      </c>
      <c r="C468" s="2" t="s">
        <v>33</v>
      </c>
      <c r="D468" s="2" t="s">
        <v>21</v>
      </c>
      <c r="E468" s="2" t="s">
        <v>22</v>
      </c>
      <c r="F468" s="6" t="s">
        <v>139</v>
      </c>
      <c r="G468" s="6" t="s">
        <v>141</v>
      </c>
      <c r="I468" s="2" t="s">
        <v>264</v>
      </c>
      <c r="L468" s="2" t="s">
        <v>687</v>
      </c>
      <c r="N468" s="2">
        <f t="shared" ca="1" si="21"/>
        <v>1</v>
      </c>
      <c r="O468" s="6">
        <f t="shared" ca="1" si="22"/>
        <v>45456</v>
      </c>
      <c r="P468" s="2">
        <f t="shared" ca="1" si="23"/>
        <v>1</v>
      </c>
    </row>
    <row r="469" spans="1:16" x14ac:dyDescent="0.35">
      <c r="A469" s="2" t="s">
        <v>32</v>
      </c>
      <c r="B469" s="2">
        <v>2875480</v>
      </c>
      <c r="C469" s="2" t="s">
        <v>33</v>
      </c>
      <c r="D469" s="2" t="s">
        <v>21</v>
      </c>
      <c r="E469" s="2" t="s">
        <v>22</v>
      </c>
      <c r="F469" s="6" t="s">
        <v>139</v>
      </c>
      <c r="G469" s="6" t="s">
        <v>141</v>
      </c>
      <c r="I469" s="2" t="s">
        <v>264</v>
      </c>
      <c r="L469" s="2" t="s">
        <v>688</v>
      </c>
      <c r="N469" s="2">
        <f t="shared" ca="1" si="21"/>
        <v>1</v>
      </c>
      <c r="O469" s="6">
        <f t="shared" ca="1" si="22"/>
        <v>45456</v>
      </c>
      <c r="P469" s="2">
        <f t="shared" ca="1" si="23"/>
        <v>1</v>
      </c>
    </row>
    <row r="470" spans="1:16" x14ac:dyDescent="0.35">
      <c r="A470" s="2" t="s">
        <v>32</v>
      </c>
      <c r="B470" s="2">
        <v>2875812</v>
      </c>
      <c r="C470" s="2" t="s">
        <v>33</v>
      </c>
      <c r="D470" s="2" t="s">
        <v>21</v>
      </c>
      <c r="E470" s="2" t="s">
        <v>22</v>
      </c>
      <c r="F470" s="6" t="s">
        <v>139</v>
      </c>
      <c r="G470" s="6" t="s">
        <v>141</v>
      </c>
      <c r="I470" s="2" t="s">
        <v>264</v>
      </c>
      <c r="L470" s="2" t="s">
        <v>686</v>
      </c>
      <c r="N470" s="2">
        <f t="shared" ca="1" si="21"/>
        <v>1</v>
      </c>
      <c r="O470" s="6">
        <f t="shared" ca="1" si="22"/>
        <v>45456</v>
      </c>
      <c r="P470" s="2">
        <f t="shared" ca="1" si="23"/>
        <v>1</v>
      </c>
    </row>
    <row r="471" spans="1:16" x14ac:dyDescent="0.35">
      <c r="A471" s="2" t="s">
        <v>32</v>
      </c>
      <c r="B471" s="2">
        <v>2876154</v>
      </c>
      <c r="C471" s="2" t="s">
        <v>33</v>
      </c>
      <c r="D471" s="2" t="s">
        <v>21</v>
      </c>
      <c r="E471" s="2" t="s">
        <v>22</v>
      </c>
      <c r="F471" s="6" t="s">
        <v>139</v>
      </c>
      <c r="G471" s="6" t="s">
        <v>141</v>
      </c>
      <c r="I471" s="2" t="s">
        <v>264</v>
      </c>
      <c r="L471" s="2" t="s">
        <v>686</v>
      </c>
      <c r="N471" s="2">
        <f t="shared" ca="1" si="21"/>
        <v>1</v>
      </c>
      <c r="O471" s="6">
        <f t="shared" ca="1" si="22"/>
        <v>45456</v>
      </c>
      <c r="P471" s="2">
        <f t="shared" ca="1" si="23"/>
        <v>1</v>
      </c>
    </row>
    <row r="472" spans="1:16" x14ac:dyDescent="0.35">
      <c r="A472" s="2" t="s">
        <v>32</v>
      </c>
      <c r="B472" s="2">
        <v>2876366</v>
      </c>
      <c r="C472" s="2" t="s">
        <v>33</v>
      </c>
      <c r="D472" s="2" t="s">
        <v>21</v>
      </c>
      <c r="E472" s="2" t="s">
        <v>22</v>
      </c>
      <c r="F472" s="6" t="s">
        <v>139</v>
      </c>
      <c r="G472" s="6" t="s">
        <v>141</v>
      </c>
      <c r="I472" s="2" t="s">
        <v>264</v>
      </c>
      <c r="L472" s="2" t="s">
        <v>689</v>
      </c>
      <c r="N472" s="2">
        <f t="shared" ca="1" si="21"/>
        <v>1</v>
      </c>
      <c r="O472" s="6">
        <f t="shared" ca="1" si="22"/>
        <v>45456</v>
      </c>
      <c r="P472" s="2">
        <f t="shared" ca="1" si="23"/>
        <v>1</v>
      </c>
    </row>
    <row r="473" spans="1:16" x14ac:dyDescent="0.35">
      <c r="A473" s="2" t="s">
        <v>32</v>
      </c>
      <c r="B473" s="2">
        <v>2876373</v>
      </c>
      <c r="C473" s="2" t="s">
        <v>33</v>
      </c>
      <c r="D473" s="2" t="s">
        <v>21</v>
      </c>
      <c r="E473" s="2" t="s">
        <v>22</v>
      </c>
      <c r="F473" s="6" t="s">
        <v>139</v>
      </c>
      <c r="G473" s="6" t="s">
        <v>141</v>
      </c>
      <c r="I473" s="2" t="s">
        <v>264</v>
      </c>
      <c r="L473" s="2" t="s">
        <v>689</v>
      </c>
      <c r="N473" s="2">
        <f t="shared" ca="1" si="21"/>
        <v>1</v>
      </c>
      <c r="O473" s="6">
        <f t="shared" ca="1" si="22"/>
        <v>45456</v>
      </c>
      <c r="P473" s="2">
        <f t="shared" ca="1" si="23"/>
        <v>1</v>
      </c>
    </row>
    <row r="474" spans="1:16" x14ac:dyDescent="0.35">
      <c r="A474" s="2" t="s">
        <v>32</v>
      </c>
      <c r="B474" s="2">
        <v>2876377</v>
      </c>
      <c r="C474" s="2" t="s">
        <v>33</v>
      </c>
      <c r="D474" s="2" t="s">
        <v>21</v>
      </c>
      <c r="E474" s="2" t="s">
        <v>22</v>
      </c>
      <c r="F474" s="6" t="s">
        <v>139</v>
      </c>
      <c r="G474" s="6" t="s">
        <v>141</v>
      </c>
      <c r="I474" s="2" t="s">
        <v>264</v>
      </c>
      <c r="L474" s="2" t="s">
        <v>689</v>
      </c>
      <c r="N474" s="2">
        <f t="shared" ca="1" si="21"/>
        <v>1</v>
      </c>
      <c r="O474" s="6">
        <f t="shared" ca="1" si="22"/>
        <v>45456</v>
      </c>
      <c r="P474" s="2">
        <f t="shared" ca="1" si="23"/>
        <v>1</v>
      </c>
    </row>
    <row r="475" spans="1:16" x14ac:dyDescent="0.35">
      <c r="A475" s="2" t="s">
        <v>32</v>
      </c>
      <c r="B475" s="2">
        <v>2876399</v>
      </c>
      <c r="C475" s="2" t="s">
        <v>33</v>
      </c>
      <c r="D475" s="2" t="s">
        <v>21</v>
      </c>
      <c r="E475" s="2" t="s">
        <v>22</v>
      </c>
      <c r="F475" s="6" t="s">
        <v>139</v>
      </c>
      <c r="G475" s="6" t="s">
        <v>141</v>
      </c>
      <c r="I475" s="2" t="s">
        <v>264</v>
      </c>
      <c r="L475" s="2" t="s">
        <v>689</v>
      </c>
      <c r="N475" s="2">
        <f t="shared" ca="1" si="21"/>
        <v>1</v>
      </c>
      <c r="O475" s="6">
        <f t="shared" ca="1" si="22"/>
        <v>45456</v>
      </c>
      <c r="P475" s="2">
        <f t="shared" ca="1" si="23"/>
        <v>1</v>
      </c>
    </row>
    <row r="476" spans="1:16" x14ac:dyDescent="0.35">
      <c r="A476" s="2" t="s">
        <v>32</v>
      </c>
      <c r="B476" s="2">
        <v>2876591</v>
      </c>
      <c r="C476" s="2" t="s">
        <v>33</v>
      </c>
      <c r="D476" s="2" t="s">
        <v>21</v>
      </c>
      <c r="E476" s="2" t="s">
        <v>22</v>
      </c>
      <c r="F476" s="6" t="s">
        <v>139</v>
      </c>
      <c r="G476" s="6" t="s">
        <v>141</v>
      </c>
      <c r="I476" s="2" t="s">
        <v>264</v>
      </c>
      <c r="L476" s="2" t="s">
        <v>690</v>
      </c>
      <c r="N476" s="2">
        <f t="shared" ca="1" si="21"/>
        <v>1</v>
      </c>
      <c r="O476" s="6">
        <f t="shared" ca="1" si="22"/>
        <v>45456</v>
      </c>
      <c r="P476" s="2">
        <f t="shared" ca="1" si="23"/>
        <v>1</v>
      </c>
    </row>
    <row r="477" spans="1:16" x14ac:dyDescent="0.35">
      <c r="A477" s="2" t="s">
        <v>32</v>
      </c>
      <c r="B477" s="2">
        <v>2876597</v>
      </c>
      <c r="C477" s="2" t="s">
        <v>33</v>
      </c>
      <c r="D477" s="2" t="s">
        <v>21</v>
      </c>
      <c r="E477" s="2" t="s">
        <v>22</v>
      </c>
      <c r="F477" s="6" t="s">
        <v>139</v>
      </c>
      <c r="G477" s="6" t="s">
        <v>141</v>
      </c>
      <c r="I477" s="2" t="s">
        <v>264</v>
      </c>
      <c r="L477" s="2" t="s">
        <v>691</v>
      </c>
      <c r="N477" s="2">
        <f t="shared" ca="1" si="21"/>
        <v>1</v>
      </c>
      <c r="O477" s="6">
        <f t="shared" ca="1" si="22"/>
        <v>45456</v>
      </c>
      <c r="P477" s="2">
        <f t="shared" ca="1" si="23"/>
        <v>1</v>
      </c>
    </row>
    <row r="478" spans="1:16" x14ac:dyDescent="0.35">
      <c r="A478" s="2" t="s">
        <v>32</v>
      </c>
      <c r="B478" s="2">
        <v>2876620</v>
      </c>
      <c r="C478" s="2" t="s">
        <v>33</v>
      </c>
      <c r="D478" s="2" t="s">
        <v>21</v>
      </c>
      <c r="E478" s="2" t="s">
        <v>22</v>
      </c>
      <c r="F478" s="6" t="s">
        <v>139</v>
      </c>
      <c r="G478" s="6" t="s">
        <v>141</v>
      </c>
      <c r="I478" s="2" t="s">
        <v>264</v>
      </c>
      <c r="L478" s="2" t="s">
        <v>692</v>
      </c>
      <c r="N478" s="2">
        <f t="shared" ca="1" si="21"/>
        <v>1</v>
      </c>
      <c r="O478" s="6">
        <f t="shared" ca="1" si="22"/>
        <v>45456</v>
      </c>
      <c r="P478" s="2">
        <f t="shared" ca="1" si="23"/>
        <v>1</v>
      </c>
    </row>
    <row r="479" spans="1:16" x14ac:dyDescent="0.35">
      <c r="A479" s="2" t="s">
        <v>32</v>
      </c>
      <c r="B479" s="2">
        <v>2877498</v>
      </c>
      <c r="C479" s="2" t="s">
        <v>33</v>
      </c>
      <c r="D479" s="2" t="s">
        <v>21</v>
      </c>
      <c r="E479" s="2" t="s">
        <v>22</v>
      </c>
      <c r="F479" s="6" t="s">
        <v>129</v>
      </c>
      <c r="G479" s="6" t="s">
        <v>141</v>
      </c>
      <c r="I479" s="2" t="s">
        <v>264</v>
      </c>
      <c r="L479" s="2" t="s">
        <v>693</v>
      </c>
      <c r="N479" s="2">
        <f t="shared" ca="1" si="21"/>
        <v>1</v>
      </c>
      <c r="O479" s="6">
        <f t="shared" ca="1" si="22"/>
        <v>45456</v>
      </c>
      <c r="P479" s="2">
        <f t="shared" ca="1" si="23"/>
        <v>1</v>
      </c>
    </row>
    <row r="480" spans="1:16" x14ac:dyDescent="0.35">
      <c r="A480" s="2" t="s">
        <v>32</v>
      </c>
      <c r="B480" s="2">
        <v>2877722</v>
      </c>
      <c r="C480" s="2" t="s">
        <v>33</v>
      </c>
      <c r="D480" s="2" t="s">
        <v>21</v>
      </c>
      <c r="E480" s="2" t="s">
        <v>22</v>
      </c>
      <c r="F480" s="6" t="s">
        <v>129</v>
      </c>
      <c r="G480" s="6" t="s">
        <v>141</v>
      </c>
      <c r="I480" s="2" t="s">
        <v>264</v>
      </c>
      <c r="L480" s="2" t="s">
        <v>268</v>
      </c>
      <c r="N480" s="2">
        <f t="shared" ca="1" si="21"/>
        <v>1</v>
      </c>
      <c r="O480" s="6">
        <f t="shared" ca="1" si="22"/>
        <v>45456</v>
      </c>
      <c r="P480" s="2">
        <f t="shared" ca="1" si="23"/>
        <v>1</v>
      </c>
    </row>
    <row r="481" spans="1:16" x14ac:dyDescent="0.35">
      <c r="A481" s="2" t="s">
        <v>32</v>
      </c>
      <c r="B481" s="2">
        <v>2878121</v>
      </c>
      <c r="C481" s="2" t="s">
        <v>33</v>
      </c>
      <c r="D481" s="2" t="s">
        <v>21</v>
      </c>
      <c r="E481" s="2" t="s">
        <v>22</v>
      </c>
      <c r="F481" s="6" t="s">
        <v>129</v>
      </c>
      <c r="G481" s="6" t="s">
        <v>141</v>
      </c>
      <c r="I481" s="2" t="s">
        <v>264</v>
      </c>
      <c r="L481" s="2" t="s">
        <v>694</v>
      </c>
      <c r="N481" s="2">
        <f t="shared" ca="1" si="21"/>
        <v>1</v>
      </c>
      <c r="O481" s="6">
        <f t="shared" ca="1" si="22"/>
        <v>45456</v>
      </c>
      <c r="P481" s="2">
        <f t="shared" ca="1" si="23"/>
        <v>1</v>
      </c>
    </row>
    <row r="482" spans="1:16" x14ac:dyDescent="0.35">
      <c r="A482" s="2" t="s">
        <v>32</v>
      </c>
      <c r="B482" s="2">
        <v>2878242</v>
      </c>
      <c r="C482" s="2" t="s">
        <v>33</v>
      </c>
      <c r="D482" s="2" t="s">
        <v>21</v>
      </c>
      <c r="E482" s="2" t="s">
        <v>22</v>
      </c>
      <c r="F482" s="6" t="s">
        <v>129</v>
      </c>
      <c r="G482" s="6" t="s">
        <v>141</v>
      </c>
      <c r="I482" s="2" t="s">
        <v>264</v>
      </c>
      <c r="L482" s="2" t="s">
        <v>695</v>
      </c>
      <c r="N482" s="2">
        <f t="shared" ca="1" si="21"/>
        <v>1</v>
      </c>
      <c r="O482" s="6">
        <f t="shared" ca="1" si="22"/>
        <v>45456</v>
      </c>
      <c r="P482" s="2">
        <f t="shared" ca="1" si="23"/>
        <v>1</v>
      </c>
    </row>
    <row r="483" spans="1:16" x14ac:dyDescent="0.35">
      <c r="A483" s="2" t="s">
        <v>32</v>
      </c>
      <c r="B483" s="2">
        <v>2878311</v>
      </c>
      <c r="C483" s="2" t="s">
        <v>33</v>
      </c>
      <c r="D483" s="2" t="s">
        <v>21</v>
      </c>
      <c r="E483" s="2" t="s">
        <v>22</v>
      </c>
      <c r="F483" s="6" t="s">
        <v>129</v>
      </c>
      <c r="G483" s="6" t="s">
        <v>141</v>
      </c>
      <c r="I483" s="2" t="s">
        <v>264</v>
      </c>
      <c r="L483" s="2" t="s">
        <v>695</v>
      </c>
      <c r="N483" s="2">
        <f t="shared" ca="1" si="21"/>
        <v>1</v>
      </c>
      <c r="O483" s="6">
        <f t="shared" ca="1" si="22"/>
        <v>45456</v>
      </c>
      <c r="P483" s="2">
        <f t="shared" ca="1" si="23"/>
        <v>1</v>
      </c>
    </row>
    <row r="484" spans="1:16" x14ac:dyDescent="0.35">
      <c r="A484" s="2" t="s">
        <v>32</v>
      </c>
      <c r="B484" s="2">
        <v>2878764</v>
      </c>
      <c r="C484" s="2" t="s">
        <v>33</v>
      </c>
      <c r="D484" s="2" t="s">
        <v>21</v>
      </c>
      <c r="E484" s="2" t="s">
        <v>22</v>
      </c>
      <c r="F484" s="6" t="s">
        <v>129</v>
      </c>
      <c r="G484" s="6" t="s">
        <v>141</v>
      </c>
      <c r="I484" s="2" t="s">
        <v>264</v>
      </c>
      <c r="L484" s="2" t="s">
        <v>694</v>
      </c>
      <c r="N484" s="2">
        <f t="shared" ca="1" si="21"/>
        <v>1</v>
      </c>
      <c r="O484" s="6">
        <f t="shared" ca="1" si="22"/>
        <v>45456</v>
      </c>
      <c r="P484" s="2">
        <f t="shared" ca="1" si="23"/>
        <v>1</v>
      </c>
    </row>
    <row r="485" spans="1:16" x14ac:dyDescent="0.35">
      <c r="A485" s="2" t="s">
        <v>32</v>
      </c>
      <c r="B485" s="2">
        <v>2879655</v>
      </c>
      <c r="C485" s="2" t="s">
        <v>33</v>
      </c>
      <c r="D485" s="2" t="s">
        <v>21</v>
      </c>
      <c r="E485" s="2" t="s">
        <v>22</v>
      </c>
      <c r="F485" s="6" t="s">
        <v>129</v>
      </c>
      <c r="G485" s="6" t="s">
        <v>141</v>
      </c>
      <c r="I485" s="2" t="s">
        <v>264</v>
      </c>
      <c r="L485" s="2" t="s">
        <v>696</v>
      </c>
      <c r="N485" s="2">
        <f t="shared" ca="1" si="21"/>
        <v>1</v>
      </c>
      <c r="O485" s="6">
        <f t="shared" ca="1" si="22"/>
        <v>45456</v>
      </c>
      <c r="P485" s="2">
        <f t="shared" ca="1" si="23"/>
        <v>1</v>
      </c>
    </row>
    <row r="486" spans="1:16" x14ac:dyDescent="0.35">
      <c r="A486" s="2" t="s">
        <v>32</v>
      </c>
      <c r="B486" s="2">
        <v>2879760</v>
      </c>
      <c r="C486" s="2" t="s">
        <v>33</v>
      </c>
      <c r="D486" s="2" t="s">
        <v>21</v>
      </c>
      <c r="E486" s="2" t="s">
        <v>22</v>
      </c>
      <c r="F486" s="6" t="s">
        <v>116</v>
      </c>
      <c r="G486" s="6" t="s">
        <v>141</v>
      </c>
      <c r="I486" s="2" t="s">
        <v>264</v>
      </c>
      <c r="L486" s="2" t="s">
        <v>697</v>
      </c>
      <c r="N486" s="2">
        <f t="shared" ca="1" si="21"/>
        <v>1</v>
      </c>
      <c r="O486" s="6">
        <f t="shared" ca="1" si="22"/>
        <v>45456</v>
      </c>
      <c r="P486" s="2">
        <f t="shared" ca="1" si="23"/>
        <v>1</v>
      </c>
    </row>
    <row r="487" spans="1:16" x14ac:dyDescent="0.35">
      <c r="A487" s="2" t="s">
        <v>32</v>
      </c>
      <c r="B487" s="2">
        <v>2881862</v>
      </c>
      <c r="C487" s="2" t="s">
        <v>33</v>
      </c>
      <c r="D487" s="2" t="s">
        <v>21</v>
      </c>
      <c r="E487" s="2" t="s">
        <v>22</v>
      </c>
      <c r="F487" s="6" t="s">
        <v>116</v>
      </c>
      <c r="G487" s="6" t="s">
        <v>141</v>
      </c>
      <c r="I487" s="2" t="s">
        <v>264</v>
      </c>
      <c r="L487" s="2" t="s">
        <v>698</v>
      </c>
      <c r="N487" s="2">
        <f t="shared" ca="1" si="21"/>
        <v>1</v>
      </c>
      <c r="O487" s="6">
        <f t="shared" ca="1" si="22"/>
        <v>45456</v>
      </c>
      <c r="P487" s="2">
        <f t="shared" ca="1" si="23"/>
        <v>1</v>
      </c>
    </row>
    <row r="488" spans="1:16" x14ac:dyDescent="0.35">
      <c r="A488" s="2" t="s">
        <v>32</v>
      </c>
      <c r="B488" s="2">
        <v>2882595</v>
      </c>
      <c r="C488" s="2" t="s">
        <v>33</v>
      </c>
      <c r="D488" s="2" t="s">
        <v>21</v>
      </c>
      <c r="E488" s="2" t="s">
        <v>22</v>
      </c>
      <c r="F488" s="6" t="s">
        <v>116</v>
      </c>
      <c r="G488" s="6" t="s">
        <v>141</v>
      </c>
      <c r="I488" s="2" t="s">
        <v>264</v>
      </c>
      <c r="L488" s="2" t="s">
        <v>665</v>
      </c>
      <c r="N488" s="2">
        <f t="shared" ca="1" si="21"/>
        <v>1</v>
      </c>
      <c r="O488" s="6">
        <f t="shared" ca="1" si="22"/>
        <v>45456</v>
      </c>
      <c r="P488" s="2">
        <f t="shared" ca="1" si="23"/>
        <v>1</v>
      </c>
    </row>
    <row r="489" spans="1:16" x14ac:dyDescent="0.35">
      <c r="A489" s="2" t="s">
        <v>32</v>
      </c>
      <c r="B489" s="2">
        <v>2882623</v>
      </c>
      <c r="C489" s="2" t="s">
        <v>33</v>
      </c>
      <c r="D489" s="2" t="s">
        <v>21</v>
      </c>
      <c r="E489" s="2" t="s">
        <v>22</v>
      </c>
      <c r="F489" s="6" t="s">
        <v>116</v>
      </c>
      <c r="G489" s="6" t="s">
        <v>141</v>
      </c>
      <c r="I489" s="2" t="s">
        <v>264</v>
      </c>
      <c r="L489" s="2" t="s">
        <v>665</v>
      </c>
      <c r="N489" s="2">
        <f t="shared" ca="1" si="21"/>
        <v>1</v>
      </c>
      <c r="O489" s="6">
        <f t="shared" ca="1" si="22"/>
        <v>45456</v>
      </c>
      <c r="P489" s="2">
        <f t="shared" ca="1" si="23"/>
        <v>1</v>
      </c>
    </row>
    <row r="490" spans="1:16" x14ac:dyDescent="0.35">
      <c r="A490" s="2" t="s">
        <v>32</v>
      </c>
      <c r="B490" s="2">
        <v>2883244</v>
      </c>
      <c r="C490" s="2" t="s">
        <v>33</v>
      </c>
      <c r="D490" s="2" t="s">
        <v>21</v>
      </c>
      <c r="E490" s="2" t="s">
        <v>22</v>
      </c>
      <c r="F490" s="6" t="s">
        <v>78</v>
      </c>
      <c r="G490" s="6" t="s">
        <v>141</v>
      </c>
      <c r="I490" s="2" t="s">
        <v>264</v>
      </c>
      <c r="L490" s="2" t="s">
        <v>270</v>
      </c>
      <c r="N490" s="2">
        <f t="shared" ca="1" si="21"/>
        <v>1</v>
      </c>
      <c r="O490" s="6">
        <f t="shared" ca="1" si="22"/>
        <v>45456</v>
      </c>
      <c r="P490" s="2">
        <f t="shared" ca="1" si="23"/>
        <v>1</v>
      </c>
    </row>
    <row r="491" spans="1:16" x14ac:dyDescent="0.35">
      <c r="A491" s="2" t="s">
        <v>32</v>
      </c>
      <c r="B491" s="2">
        <v>2883697</v>
      </c>
      <c r="C491" s="2" t="s">
        <v>33</v>
      </c>
      <c r="D491" s="2" t="s">
        <v>21</v>
      </c>
      <c r="E491" s="2" t="s">
        <v>22</v>
      </c>
      <c r="F491" s="6" t="s">
        <v>78</v>
      </c>
      <c r="G491" s="6" t="s">
        <v>141</v>
      </c>
      <c r="I491" s="2" t="s">
        <v>264</v>
      </c>
      <c r="L491" s="2" t="s">
        <v>699</v>
      </c>
      <c r="N491" s="2">
        <f t="shared" ca="1" si="21"/>
        <v>1</v>
      </c>
      <c r="O491" s="6">
        <f t="shared" ca="1" si="22"/>
        <v>45456</v>
      </c>
      <c r="P491" s="2">
        <f t="shared" ca="1" si="23"/>
        <v>1</v>
      </c>
    </row>
    <row r="492" spans="1:16" x14ac:dyDescent="0.35">
      <c r="A492" s="2" t="s">
        <v>32</v>
      </c>
      <c r="B492" s="2">
        <v>2884684</v>
      </c>
      <c r="C492" s="2" t="s">
        <v>33</v>
      </c>
      <c r="D492" s="2" t="s">
        <v>21</v>
      </c>
      <c r="E492" s="2" t="s">
        <v>22</v>
      </c>
      <c r="F492" s="6" t="s">
        <v>78</v>
      </c>
      <c r="G492" s="6" t="s">
        <v>141</v>
      </c>
      <c r="I492" s="2" t="s">
        <v>264</v>
      </c>
      <c r="L492" s="2" t="s">
        <v>271</v>
      </c>
      <c r="N492" s="2">
        <f t="shared" ca="1" si="21"/>
        <v>1</v>
      </c>
      <c r="O492" s="6">
        <f t="shared" ca="1" si="22"/>
        <v>45456</v>
      </c>
      <c r="P492" s="2">
        <f t="shared" ca="1" si="23"/>
        <v>1</v>
      </c>
    </row>
    <row r="493" spans="1:16" x14ac:dyDescent="0.35">
      <c r="A493" s="2" t="s">
        <v>32</v>
      </c>
      <c r="B493" s="2">
        <v>2884727</v>
      </c>
      <c r="C493" s="2" t="s">
        <v>33</v>
      </c>
      <c r="D493" s="2" t="s">
        <v>21</v>
      </c>
      <c r="E493" s="2" t="s">
        <v>22</v>
      </c>
      <c r="F493" s="6" t="s">
        <v>78</v>
      </c>
      <c r="G493" s="6">
        <v>45602</v>
      </c>
      <c r="I493" s="2" t="s">
        <v>264</v>
      </c>
      <c r="L493" s="2" t="s">
        <v>272</v>
      </c>
      <c r="N493" s="2">
        <f t="shared" ca="1" si="21"/>
        <v>105</v>
      </c>
      <c r="O493" s="6">
        <f t="shared" ca="1" si="22"/>
        <v>45456</v>
      </c>
      <c r="P493" s="2">
        <f t="shared" ca="1" si="23"/>
        <v>1</v>
      </c>
    </row>
    <row r="494" spans="1:16" x14ac:dyDescent="0.35">
      <c r="A494" s="2" t="s">
        <v>32</v>
      </c>
      <c r="B494" s="2">
        <v>2885128</v>
      </c>
      <c r="C494" s="2" t="s">
        <v>33</v>
      </c>
      <c r="D494" s="2" t="s">
        <v>21</v>
      </c>
      <c r="E494" s="2" t="s">
        <v>22</v>
      </c>
      <c r="F494" s="6" t="s">
        <v>78</v>
      </c>
      <c r="G494" s="6">
        <v>45632</v>
      </c>
      <c r="I494" s="2" t="s">
        <v>264</v>
      </c>
      <c r="L494" s="2" t="s">
        <v>273</v>
      </c>
      <c r="N494" s="2">
        <f t="shared" ca="1" si="21"/>
        <v>127</v>
      </c>
      <c r="O494" s="6">
        <f t="shared" ca="1" si="22"/>
        <v>45456</v>
      </c>
      <c r="P494" s="2">
        <f t="shared" ca="1" si="23"/>
        <v>1</v>
      </c>
    </row>
    <row r="495" spans="1:16" x14ac:dyDescent="0.35">
      <c r="A495" s="2" t="s">
        <v>32</v>
      </c>
      <c r="B495" s="2">
        <v>2885817</v>
      </c>
      <c r="C495" s="2" t="s">
        <v>33</v>
      </c>
      <c r="D495" s="2" t="s">
        <v>21</v>
      </c>
      <c r="E495" s="2" t="s">
        <v>22</v>
      </c>
      <c r="F495" s="6" t="s">
        <v>78</v>
      </c>
      <c r="G495" s="6">
        <v>45632</v>
      </c>
      <c r="I495" s="2" t="s">
        <v>264</v>
      </c>
      <c r="L495" s="2" t="s">
        <v>274</v>
      </c>
      <c r="N495" s="2">
        <f t="shared" ca="1" si="21"/>
        <v>127</v>
      </c>
      <c r="O495" s="6">
        <f t="shared" ca="1" si="22"/>
        <v>45456</v>
      </c>
      <c r="P495" s="2">
        <f t="shared" ca="1" si="23"/>
        <v>1</v>
      </c>
    </row>
    <row r="496" spans="1:16" x14ac:dyDescent="0.35">
      <c r="A496" s="2" t="s">
        <v>32</v>
      </c>
      <c r="B496" s="2">
        <v>2885860</v>
      </c>
      <c r="C496" s="2" t="s">
        <v>33</v>
      </c>
      <c r="D496" s="2" t="s">
        <v>21</v>
      </c>
      <c r="E496" s="2" t="s">
        <v>22</v>
      </c>
      <c r="F496" s="6" t="s">
        <v>78</v>
      </c>
      <c r="G496" s="6">
        <v>45632</v>
      </c>
      <c r="I496" s="2" t="s">
        <v>264</v>
      </c>
      <c r="L496" s="2" t="s">
        <v>275</v>
      </c>
      <c r="N496" s="2">
        <f t="shared" ca="1" si="21"/>
        <v>127</v>
      </c>
      <c r="O496" s="6">
        <f t="shared" ca="1" si="22"/>
        <v>45456</v>
      </c>
      <c r="P496" s="2">
        <f t="shared" ca="1" si="23"/>
        <v>1</v>
      </c>
    </row>
    <row r="497" spans="1:16" x14ac:dyDescent="0.35">
      <c r="A497" s="2" t="s">
        <v>32</v>
      </c>
      <c r="B497" s="2">
        <v>2885861</v>
      </c>
      <c r="C497" s="2" t="s">
        <v>33</v>
      </c>
      <c r="D497" s="2" t="s">
        <v>21</v>
      </c>
      <c r="E497" s="2" t="s">
        <v>22</v>
      </c>
      <c r="F497" s="6" t="s">
        <v>78</v>
      </c>
      <c r="G497" s="6" t="s">
        <v>141</v>
      </c>
      <c r="I497" s="2" t="s">
        <v>264</v>
      </c>
      <c r="L497" s="2" t="s">
        <v>480</v>
      </c>
      <c r="N497" s="2">
        <f t="shared" ca="1" si="21"/>
        <v>1</v>
      </c>
      <c r="O497" s="6">
        <f t="shared" ca="1" si="22"/>
        <v>45456</v>
      </c>
      <c r="P497" s="2">
        <f t="shared" ca="1" si="23"/>
        <v>1</v>
      </c>
    </row>
    <row r="498" spans="1:16" x14ac:dyDescent="0.35">
      <c r="A498" s="2" t="s">
        <v>32</v>
      </c>
      <c r="B498" s="2">
        <v>2885862</v>
      </c>
      <c r="C498" s="2" t="s">
        <v>33</v>
      </c>
      <c r="D498" s="2" t="s">
        <v>21</v>
      </c>
      <c r="E498" s="2" t="s">
        <v>22</v>
      </c>
      <c r="F498" s="6" t="s">
        <v>78</v>
      </c>
      <c r="G498" s="6" t="s">
        <v>141</v>
      </c>
      <c r="I498" s="2" t="s">
        <v>264</v>
      </c>
      <c r="L498" s="2" t="s">
        <v>274</v>
      </c>
      <c r="N498" s="2">
        <f t="shared" ca="1" si="21"/>
        <v>1</v>
      </c>
      <c r="O498" s="6">
        <f t="shared" ca="1" si="22"/>
        <v>45456</v>
      </c>
      <c r="P498" s="2">
        <f t="shared" ca="1" si="23"/>
        <v>1</v>
      </c>
    </row>
    <row r="499" spans="1:16" x14ac:dyDescent="0.35">
      <c r="A499" s="2" t="s">
        <v>32</v>
      </c>
      <c r="B499" s="2">
        <v>2886134</v>
      </c>
      <c r="C499" s="2" t="s">
        <v>33</v>
      </c>
      <c r="D499" s="2" t="s">
        <v>21</v>
      </c>
      <c r="E499" s="2" t="s">
        <v>22</v>
      </c>
      <c r="F499" s="6" t="s">
        <v>78</v>
      </c>
      <c r="G499" s="6" t="s">
        <v>141</v>
      </c>
      <c r="I499" s="2" t="s">
        <v>264</v>
      </c>
      <c r="L499" s="2" t="s">
        <v>276</v>
      </c>
      <c r="N499" s="2">
        <f t="shared" ca="1" si="21"/>
        <v>1</v>
      </c>
      <c r="O499" s="6">
        <f t="shared" ca="1" si="22"/>
        <v>45456</v>
      </c>
      <c r="P499" s="2">
        <f t="shared" ca="1" si="23"/>
        <v>1</v>
      </c>
    </row>
    <row r="500" spans="1:16" x14ac:dyDescent="0.35">
      <c r="A500" s="2" t="s">
        <v>32</v>
      </c>
      <c r="B500" s="2">
        <v>2886357</v>
      </c>
      <c r="C500" s="2" t="s">
        <v>33</v>
      </c>
      <c r="D500" s="2" t="s">
        <v>21</v>
      </c>
      <c r="E500" s="2" t="s">
        <v>22</v>
      </c>
      <c r="F500" s="6" t="s">
        <v>78</v>
      </c>
      <c r="G500" s="6" t="s">
        <v>141</v>
      </c>
      <c r="I500" s="2" t="s">
        <v>264</v>
      </c>
      <c r="L500" s="2" t="s">
        <v>276</v>
      </c>
      <c r="N500" s="2">
        <f t="shared" ca="1" si="21"/>
        <v>1</v>
      </c>
      <c r="O500" s="6">
        <f t="shared" ca="1" si="22"/>
        <v>45456</v>
      </c>
      <c r="P500" s="2">
        <f t="shared" ca="1" si="23"/>
        <v>1</v>
      </c>
    </row>
    <row r="501" spans="1:16" x14ac:dyDescent="0.35">
      <c r="A501" s="2" t="s">
        <v>32</v>
      </c>
      <c r="B501" s="2">
        <v>2886587</v>
      </c>
      <c r="C501" s="2" t="s">
        <v>33</v>
      </c>
      <c r="D501" s="2" t="s">
        <v>21</v>
      </c>
      <c r="E501" s="2" t="s">
        <v>22</v>
      </c>
      <c r="F501" s="6" t="s">
        <v>78</v>
      </c>
      <c r="G501" s="6">
        <v>45632</v>
      </c>
      <c r="I501" s="2" t="s">
        <v>264</v>
      </c>
      <c r="L501" s="2" t="s">
        <v>481</v>
      </c>
      <c r="N501" s="2">
        <f t="shared" ca="1" si="21"/>
        <v>127</v>
      </c>
      <c r="O501" s="6">
        <f t="shared" ca="1" si="22"/>
        <v>45456</v>
      </c>
      <c r="P501" s="2">
        <f t="shared" ca="1" si="23"/>
        <v>1</v>
      </c>
    </row>
    <row r="502" spans="1:16" x14ac:dyDescent="0.35">
      <c r="A502" s="2" t="s">
        <v>32</v>
      </c>
      <c r="B502" s="2">
        <v>2886595</v>
      </c>
      <c r="C502" s="2" t="s">
        <v>33</v>
      </c>
      <c r="D502" s="2" t="s">
        <v>21</v>
      </c>
      <c r="E502" s="2" t="s">
        <v>22</v>
      </c>
      <c r="F502" s="6" t="s">
        <v>78</v>
      </c>
      <c r="G502" s="6">
        <v>45632</v>
      </c>
      <c r="I502" s="2" t="s">
        <v>264</v>
      </c>
      <c r="L502" s="2" t="s">
        <v>277</v>
      </c>
      <c r="N502" s="2">
        <f t="shared" ca="1" si="21"/>
        <v>127</v>
      </c>
      <c r="O502" s="6">
        <f t="shared" ca="1" si="22"/>
        <v>45456</v>
      </c>
      <c r="P502" s="2">
        <f t="shared" ca="1" si="23"/>
        <v>1</v>
      </c>
    </row>
    <row r="503" spans="1:16" x14ac:dyDescent="0.35">
      <c r="A503" s="2" t="s">
        <v>32</v>
      </c>
      <c r="B503" s="2">
        <v>2886596</v>
      </c>
      <c r="C503" s="2" t="s">
        <v>33</v>
      </c>
      <c r="D503" s="2" t="s">
        <v>21</v>
      </c>
      <c r="E503" s="2" t="s">
        <v>22</v>
      </c>
      <c r="F503" s="6" t="s">
        <v>78</v>
      </c>
      <c r="G503" s="6">
        <v>45632</v>
      </c>
      <c r="I503" s="2" t="s">
        <v>264</v>
      </c>
      <c r="L503" s="2" t="s">
        <v>479</v>
      </c>
      <c r="N503" s="2">
        <f t="shared" ca="1" si="21"/>
        <v>127</v>
      </c>
      <c r="O503" s="6">
        <f t="shared" ca="1" si="22"/>
        <v>45456</v>
      </c>
      <c r="P503" s="2">
        <f t="shared" ca="1" si="23"/>
        <v>1</v>
      </c>
    </row>
    <row r="504" spans="1:16" x14ac:dyDescent="0.35">
      <c r="A504" s="2" t="s">
        <v>32</v>
      </c>
      <c r="B504" s="2">
        <v>2886597</v>
      </c>
      <c r="C504" s="2" t="s">
        <v>33</v>
      </c>
      <c r="D504" s="2" t="s">
        <v>21</v>
      </c>
      <c r="E504" s="2" t="s">
        <v>22</v>
      </c>
      <c r="F504" s="6" t="s">
        <v>78</v>
      </c>
      <c r="G504" s="6">
        <v>45632</v>
      </c>
      <c r="I504" s="2" t="s">
        <v>264</v>
      </c>
      <c r="L504" s="2" t="s">
        <v>278</v>
      </c>
      <c r="N504" s="2">
        <f t="shared" ca="1" si="21"/>
        <v>127</v>
      </c>
      <c r="O504" s="6">
        <f t="shared" ca="1" si="22"/>
        <v>45456</v>
      </c>
      <c r="P504" s="2">
        <f t="shared" ca="1" si="23"/>
        <v>1</v>
      </c>
    </row>
    <row r="505" spans="1:16" x14ac:dyDescent="0.35">
      <c r="A505" s="2" t="s">
        <v>32</v>
      </c>
      <c r="B505" s="2">
        <v>2886601</v>
      </c>
      <c r="C505" s="2" t="s">
        <v>33</v>
      </c>
      <c r="D505" s="2" t="s">
        <v>21</v>
      </c>
      <c r="E505" s="2" t="s">
        <v>22</v>
      </c>
      <c r="F505" s="6" t="s">
        <v>78</v>
      </c>
      <c r="G505" s="6">
        <v>45602</v>
      </c>
      <c r="I505" s="2" t="s">
        <v>264</v>
      </c>
      <c r="L505" s="2" t="s">
        <v>279</v>
      </c>
      <c r="N505" s="2">
        <f t="shared" ca="1" si="21"/>
        <v>105</v>
      </c>
      <c r="O505" s="6">
        <f t="shared" ca="1" si="22"/>
        <v>45456</v>
      </c>
      <c r="P505" s="2">
        <f t="shared" ca="1" si="23"/>
        <v>1</v>
      </c>
    </row>
    <row r="506" spans="1:16" x14ac:dyDescent="0.35">
      <c r="A506" s="2" t="s">
        <v>32</v>
      </c>
      <c r="B506" s="2">
        <v>2886605</v>
      </c>
      <c r="C506" s="2" t="s">
        <v>33</v>
      </c>
      <c r="D506" s="2" t="s">
        <v>21</v>
      </c>
      <c r="E506" s="2" t="s">
        <v>22</v>
      </c>
      <c r="F506" s="6" t="s">
        <v>78</v>
      </c>
      <c r="G506" s="6" t="s">
        <v>141</v>
      </c>
      <c r="I506" s="2" t="s">
        <v>264</v>
      </c>
      <c r="L506" s="2" t="s">
        <v>700</v>
      </c>
      <c r="N506" s="2">
        <f t="shared" ca="1" si="21"/>
        <v>1</v>
      </c>
      <c r="O506" s="6">
        <f t="shared" ca="1" si="22"/>
        <v>45456</v>
      </c>
      <c r="P506" s="2">
        <f t="shared" ca="1" si="23"/>
        <v>1</v>
      </c>
    </row>
    <row r="507" spans="1:16" x14ac:dyDescent="0.35">
      <c r="A507" s="2" t="s">
        <v>32</v>
      </c>
      <c r="B507" s="2">
        <v>2886611</v>
      </c>
      <c r="C507" s="2" t="s">
        <v>33</v>
      </c>
      <c r="D507" s="2" t="s">
        <v>21</v>
      </c>
      <c r="E507" s="2" t="s">
        <v>22</v>
      </c>
      <c r="F507" s="6" t="s">
        <v>78</v>
      </c>
      <c r="G507" s="6">
        <v>45632</v>
      </c>
      <c r="I507" s="2" t="s">
        <v>264</v>
      </c>
      <c r="L507" s="2" t="s">
        <v>280</v>
      </c>
      <c r="N507" s="2">
        <f t="shared" ca="1" si="21"/>
        <v>127</v>
      </c>
      <c r="O507" s="6">
        <f t="shared" ca="1" si="22"/>
        <v>45456</v>
      </c>
      <c r="P507" s="2">
        <f t="shared" ca="1" si="23"/>
        <v>1</v>
      </c>
    </row>
    <row r="508" spans="1:16" x14ac:dyDescent="0.35">
      <c r="A508" s="2" t="s">
        <v>32</v>
      </c>
      <c r="B508" s="2">
        <v>2886632</v>
      </c>
      <c r="C508" s="2" t="s">
        <v>33</v>
      </c>
      <c r="D508" s="2" t="s">
        <v>21</v>
      </c>
      <c r="E508" s="2" t="s">
        <v>22</v>
      </c>
      <c r="F508" s="6" t="s">
        <v>78</v>
      </c>
      <c r="G508" s="6">
        <v>45632</v>
      </c>
      <c r="I508" s="2" t="s">
        <v>264</v>
      </c>
      <c r="L508" s="2" t="s">
        <v>281</v>
      </c>
      <c r="N508" s="2">
        <f t="shared" ca="1" si="21"/>
        <v>127</v>
      </c>
      <c r="O508" s="6">
        <f t="shared" ca="1" si="22"/>
        <v>45456</v>
      </c>
      <c r="P508" s="2">
        <f t="shared" ca="1" si="23"/>
        <v>1</v>
      </c>
    </row>
    <row r="509" spans="1:16" x14ac:dyDescent="0.35">
      <c r="A509" s="2" t="s">
        <v>32</v>
      </c>
      <c r="B509" s="2">
        <v>2886635</v>
      </c>
      <c r="C509" s="2" t="s">
        <v>33</v>
      </c>
      <c r="D509" s="2" t="s">
        <v>21</v>
      </c>
      <c r="E509" s="2" t="s">
        <v>22</v>
      </c>
      <c r="F509" s="6" t="s">
        <v>78</v>
      </c>
      <c r="G509" s="6" t="s">
        <v>141</v>
      </c>
      <c r="I509" s="2" t="s">
        <v>264</v>
      </c>
      <c r="L509" s="2" t="s">
        <v>700</v>
      </c>
      <c r="N509" s="2">
        <f t="shared" ca="1" si="21"/>
        <v>1</v>
      </c>
      <c r="O509" s="6">
        <f t="shared" ca="1" si="22"/>
        <v>45456</v>
      </c>
      <c r="P509" s="2">
        <f t="shared" ca="1" si="23"/>
        <v>1</v>
      </c>
    </row>
    <row r="510" spans="1:16" x14ac:dyDescent="0.35">
      <c r="A510" s="2" t="s">
        <v>32</v>
      </c>
      <c r="B510" s="2">
        <v>2886645</v>
      </c>
      <c r="C510" s="2" t="s">
        <v>33</v>
      </c>
      <c r="D510" s="2" t="s">
        <v>21</v>
      </c>
      <c r="E510" s="2" t="s">
        <v>22</v>
      </c>
      <c r="F510" s="6" t="s">
        <v>78</v>
      </c>
      <c r="G510" s="6">
        <v>45632</v>
      </c>
      <c r="I510" s="2" t="s">
        <v>264</v>
      </c>
      <c r="L510" s="2" t="s">
        <v>280</v>
      </c>
      <c r="N510" s="2">
        <f t="shared" ca="1" si="21"/>
        <v>127</v>
      </c>
      <c r="O510" s="6">
        <f t="shared" ca="1" si="22"/>
        <v>45456</v>
      </c>
      <c r="P510" s="2">
        <f t="shared" ca="1" si="23"/>
        <v>1</v>
      </c>
    </row>
    <row r="511" spans="1:16" x14ac:dyDescent="0.35">
      <c r="A511" s="2" t="s">
        <v>32</v>
      </c>
      <c r="B511" s="2">
        <v>2886649</v>
      </c>
      <c r="C511" s="2" t="s">
        <v>33</v>
      </c>
      <c r="D511" s="2" t="s">
        <v>21</v>
      </c>
      <c r="E511" s="2" t="s">
        <v>22</v>
      </c>
      <c r="F511" s="6" t="s">
        <v>78</v>
      </c>
      <c r="G511" s="6" t="s">
        <v>141</v>
      </c>
      <c r="I511" s="2" t="s">
        <v>264</v>
      </c>
      <c r="L511" s="2" t="s">
        <v>701</v>
      </c>
      <c r="N511" s="2">
        <f t="shared" ca="1" si="21"/>
        <v>1</v>
      </c>
      <c r="O511" s="6">
        <f t="shared" ca="1" si="22"/>
        <v>45456</v>
      </c>
      <c r="P511" s="2">
        <f t="shared" ca="1" si="23"/>
        <v>1</v>
      </c>
    </row>
    <row r="512" spans="1:16" x14ac:dyDescent="0.35">
      <c r="A512" s="2" t="s">
        <v>32</v>
      </c>
      <c r="B512" s="2">
        <v>2886650</v>
      </c>
      <c r="C512" s="2" t="s">
        <v>33</v>
      </c>
      <c r="D512" s="2" t="s">
        <v>21</v>
      </c>
      <c r="E512" s="2" t="s">
        <v>22</v>
      </c>
      <c r="F512" s="6" t="s">
        <v>78</v>
      </c>
      <c r="G512" s="6" t="s">
        <v>141</v>
      </c>
      <c r="I512" s="2" t="s">
        <v>264</v>
      </c>
      <c r="L512" s="2" t="s">
        <v>678</v>
      </c>
      <c r="N512" s="2">
        <f t="shared" ca="1" si="21"/>
        <v>1</v>
      </c>
      <c r="O512" s="6">
        <f t="shared" ca="1" si="22"/>
        <v>45456</v>
      </c>
      <c r="P512" s="2">
        <f t="shared" ca="1" si="23"/>
        <v>1</v>
      </c>
    </row>
    <row r="513" spans="1:16" x14ac:dyDescent="0.35">
      <c r="A513" s="2" t="s">
        <v>32</v>
      </c>
      <c r="B513" s="2">
        <v>2886659</v>
      </c>
      <c r="C513" s="2" t="s">
        <v>33</v>
      </c>
      <c r="D513" s="2" t="s">
        <v>21</v>
      </c>
      <c r="E513" s="2" t="s">
        <v>22</v>
      </c>
      <c r="F513" s="6" t="s">
        <v>78</v>
      </c>
      <c r="G513" s="6">
        <v>45602</v>
      </c>
      <c r="I513" s="2" t="s">
        <v>264</v>
      </c>
      <c r="L513" s="2" t="s">
        <v>279</v>
      </c>
      <c r="N513" s="2">
        <f t="shared" ca="1" si="21"/>
        <v>105</v>
      </c>
      <c r="O513" s="6">
        <f t="shared" ca="1" si="22"/>
        <v>45456</v>
      </c>
      <c r="P513" s="2">
        <f t="shared" ca="1" si="23"/>
        <v>1</v>
      </c>
    </row>
    <row r="514" spans="1:16" x14ac:dyDescent="0.35">
      <c r="A514" s="2" t="s">
        <v>32</v>
      </c>
      <c r="B514" s="2">
        <v>2886666</v>
      </c>
      <c r="C514" s="2" t="s">
        <v>33</v>
      </c>
      <c r="D514" s="2" t="s">
        <v>21</v>
      </c>
      <c r="E514" s="2" t="s">
        <v>22</v>
      </c>
      <c r="F514" s="6" t="s">
        <v>78</v>
      </c>
      <c r="G514" s="6" t="s">
        <v>141</v>
      </c>
      <c r="I514" s="2" t="s">
        <v>264</v>
      </c>
      <c r="L514" s="2" t="s">
        <v>678</v>
      </c>
      <c r="N514" s="2">
        <f t="shared" ca="1" si="21"/>
        <v>1</v>
      </c>
      <c r="O514" s="6">
        <f t="shared" ca="1" si="22"/>
        <v>45456</v>
      </c>
      <c r="P514" s="2">
        <f t="shared" ca="1" si="23"/>
        <v>1</v>
      </c>
    </row>
    <row r="515" spans="1:16" x14ac:dyDescent="0.35">
      <c r="A515" s="2" t="s">
        <v>32</v>
      </c>
      <c r="B515" s="2">
        <v>2886667</v>
      </c>
      <c r="C515" s="2" t="s">
        <v>33</v>
      </c>
      <c r="D515" s="2" t="s">
        <v>21</v>
      </c>
      <c r="E515" s="2" t="s">
        <v>22</v>
      </c>
      <c r="F515" s="6" t="s">
        <v>78</v>
      </c>
      <c r="G515" s="6" t="s">
        <v>141</v>
      </c>
      <c r="I515" s="2" t="s">
        <v>264</v>
      </c>
      <c r="L515" s="2" t="s">
        <v>282</v>
      </c>
      <c r="N515" s="2">
        <f t="shared" ref="N515:N578" ca="1" si="24">IF(G515 &lt; TODAY(), -NETWORKDAYS(G515, TODAY()), NETWORKDAYS(TODAY(), G515))</f>
        <v>1</v>
      </c>
      <c r="O515" s="6">
        <f t="shared" ref="O515:O578" ca="1" si="25">TODAY()</f>
        <v>45456</v>
      </c>
      <c r="P515" s="2">
        <f t="shared" ref="P515:P578" ca="1" si="26">NETWORKDAYS(O515,TODAY())</f>
        <v>1</v>
      </c>
    </row>
    <row r="516" spans="1:16" x14ac:dyDescent="0.35">
      <c r="A516" s="2" t="s">
        <v>32</v>
      </c>
      <c r="B516" s="2">
        <v>2886682</v>
      </c>
      <c r="C516" s="2" t="s">
        <v>33</v>
      </c>
      <c r="D516" s="2" t="s">
        <v>21</v>
      </c>
      <c r="E516" s="2" t="s">
        <v>22</v>
      </c>
      <c r="F516" s="6" t="s">
        <v>120</v>
      </c>
      <c r="G516" s="6">
        <v>45602</v>
      </c>
      <c r="I516" s="2" t="s">
        <v>264</v>
      </c>
      <c r="L516" s="2" t="s">
        <v>283</v>
      </c>
      <c r="N516" s="2">
        <f t="shared" ca="1" si="24"/>
        <v>105</v>
      </c>
      <c r="O516" s="6">
        <f t="shared" ca="1" si="25"/>
        <v>45456</v>
      </c>
      <c r="P516" s="2">
        <f t="shared" ca="1" si="26"/>
        <v>1</v>
      </c>
    </row>
    <row r="517" spans="1:16" x14ac:dyDescent="0.35">
      <c r="A517" s="2" t="s">
        <v>32</v>
      </c>
      <c r="B517" s="2">
        <v>2886689</v>
      </c>
      <c r="C517" s="2" t="s">
        <v>33</v>
      </c>
      <c r="D517" s="2" t="s">
        <v>21</v>
      </c>
      <c r="E517" s="2" t="s">
        <v>22</v>
      </c>
      <c r="F517" s="6" t="s">
        <v>120</v>
      </c>
      <c r="G517" s="6">
        <v>45602</v>
      </c>
      <c r="I517" s="2" t="s">
        <v>264</v>
      </c>
      <c r="L517" s="2" t="s">
        <v>284</v>
      </c>
      <c r="N517" s="2">
        <f t="shared" ca="1" si="24"/>
        <v>105</v>
      </c>
      <c r="O517" s="6">
        <f t="shared" ca="1" si="25"/>
        <v>45456</v>
      </c>
      <c r="P517" s="2">
        <f t="shared" ca="1" si="26"/>
        <v>1</v>
      </c>
    </row>
    <row r="518" spans="1:16" x14ac:dyDescent="0.35">
      <c r="A518" s="2" t="s">
        <v>32</v>
      </c>
      <c r="B518" s="2">
        <v>2886690</v>
      </c>
      <c r="C518" s="2" t="s">
        <v>33</v>
      </c>
      <c r="D518" s="2" t="s">
        <v>21</v>
      </c>
      <c r="E518" s="2" t="s">
        <v>22</v>
      </c>
      <c r="F518" s="6" t="s">
        <v>120</v>
      </c>
      <c r="G518" s="6">
        <v>45602</v>
      </c>
      <c r="I518" s="2" t="s">
        <v>264</v>
      </c>
      <c r="L518" s="2" t="s">
        <v>283</v>
      </c>
      <c r="N518" s="2">
        <f t="shared" ca="1" si="24"/>
        <v>105</v>
      </c>
      <c r="O518" s="6">
        <f t="shared" ca="1" si="25"/>
        <v>45456</v>
      </c>
      <c r="P518" s="2">
        <f t="shared" ca="1" si="26"/>
        <v>1</v>
      </c>
    </row>
    <row r="519" spans="1:16" x14ac:dyDescent="0.35">
      <c r="A519" s="2" t="s">
        <v>32</v>
      </c>
      <c r="B519" s="2">
        <v>2886692</v>
      </c>
      <c r="C519" s="2" t="s">
        <v>33</v>
      </c>
      <c r="D519" s="2" t="s">
        <v>21</v>
      </c>
      <c r="E519" s="2" t="s">
        <v>22</v>
      </c>
      <c r="F519" s="6" t="s">
        <v>120</v>
      </c>
      <c r="G519" s="6">
        <v>45632</v>
      </c>
      <c r="I519" s="2" t="s">
        <v>264</v>
      </c>
      <c r="L519" s="2" t="s">
        <v>482</v>
      </c>
      <c r="N519" s="2">
        <f t="shared" ca="1" si="24"/>
        <v>127</v>
      </c>
      <c r="O519" s="6">
        <f t="shared" ca="1" si="25"/>
        <v>45456</v>
      </c>
      <c r="P519" s="2">
        <f t="shared" ca="1" si="26"/>
        <v>1</v>
      </c>
    </row>
    <row r="520" spans="1:16" x14ac:dyDescent="0.35">
      <c r="A520" s="2" t="s">
        <v>32</v>
      </c>
      <c r="B520" s="2">
        <v>2886694</v>
      </c>
      <c r="C520" s="2" t="s">
        <v>33</v>
      </c>
      <c r="D520" s="2" t="s">
        <v>21</v>
      </c>
      <c r="E520" s="2" t="s">
        <v>22</v>
      </c>
      <c r="F520" s="6" t="s">
        <v>120</v>
      </c>
      <c r="G520" s="6">
        <v>45602</v>
      </c>
      <c r="I520" s="2" t="s">
        <v>264</v>
      </c>
      <c r="L520" s="2" t="s">
        <v>284</v>
      </c>
      <c r="N520" s="2">
        <f t="shared" ca="1" si="24"/>
        <v>105</v>
      </c>
      <c r="O520" s="6">
        <f t="shared" ca="1" si="25"/>
        <v>45456</v>
      </c>
      <c r="P520" s="2">
        <f t="shared" ca="1" si="26"/>
        <v>1</v>
      </c>
    </row>
    <row r="521" spans="1:16" x14ac:dyDescent="0.35">
      <c r="A521" s="2" t="s">
        <v>32</v>
      </c>
      <c r="B521" s="2">
        <v>2886696</v>
      </c>
      <c r="C521" s="2" t="s">
        <v>33</v>
      </c>
      <c r="D521" s="2" t="s">
        <v>21</v>
      </c>
      <c r="E521" s="2" t="s">
        <v>22</v>
      </c>
      <c r="F521" s="6" t="s">
        <v>120</v>
      </c>
      <c r="G521" s="6">
        <v>45632</v>
      </c>
      <c r="I521" s="2" t="s">
        <v>264</v>
      </c>
      <c r="L521" s="2" t="s">
        <v>482</v>
      </c>
      <c r="N521" s="2">
        <f t="shared" ca="1" si="24"/>
        <v>127</v>
      </c>
      <c r="O521" s="6">
        <f t="shared" ca="1" si="25"/>
        <v>45456</v>
      </c>
      <c r="P521" s="2">
        <f t="shared" ca="1" si="26"/>
        <v>1</v>
      </c>
    </row>
    <row r="522" spans="1:16" x14ac:dyDescent="0.35">
      <c r="A522" s="2" t="s">
        <v>32</v>
      </c>
      <c r="B522" s="2">
        <v>2886697</v>
      </c>
      <c r="C522" s="2" t="s">
        <v>33</v>
      </c>
      <c r="D522" s="2" t="s">
        <v>21</v>
      </c>
      <c r="E522" s="2" t="s">
        <v>22</v>
      </c>
      <c r="F522" s="6" t="s">
        <v>120</v>
      </c>
      <c r="G522" s="6">
        <v>45602</v>
      </c>
      <c r="I522" s="2" t="s">
        <v>264</v>
      </c>
      <c r="L522" s="2" t="s">
        <v>284</v>
      </c>
      <c r="N522" s="2">
        <f t="shared" ca="1" si="24"/>
        <v>105</v>
      </c>
      <c r="O522" s="6">
        <f t="shared" ca="1" si="25"/>
        <v>45456</v>
      </c>
      <c r="P522" s="2">
        <f t="shared" ca="1" si="26"/>
        <v>1</v>
      </c>
    </row>
    <row r="523" spans="1:16" x14ac:dyDescent="0.35">
      <c r="A523" s="2" t="s">
        <v>32</v>
      </c>
      <c r="B523" s="2">
        <v>2886698</v>
      </c>
      <c r="C523" s="2" t="s">
        <v>33</v>
      </c>
      <c r="D523" s="2" t="s">
        <v>21</v>
      </c>
      <c r="E523" s="2" t="s">
        <v>22</v>
      </c>
      <c r="F523" s="6" t="s">
        <v>120</v>
      </c>
      <c r="G523" s="6">
        <v>45632</v>
      </c>
      <c r="I523" s="2" t="s">
        <v>264</v>
      </c>
      <c r="L523" s="2" t="s">
        <v>482</v>
      </c>
      <c r="N523" s="2">
        <f t="shared" ca="1" si="24"/>
        <v>127</v>
      </c>
      <c r="O523" s="6">
        <f t="shared" ca="1" si="25"/>
        <v>45456</v>
      </c>
      <c r="P523" s="2">
        <f t="shared" ca="1" si="26"/>
        <v>1</v>
      </c>
    </row>
    <row r="524" spans="1:16" x14ac:dyDescent="0.35">
      <c r="A524" s="2" t="s">
        <v>32</v>
      </c>
      <c r="B524" s="2">
        <v>2886699</v>
      </c>
      <c r="C524" s="2" t="s">
        <v>33</v>
      </c>
      <c r="D524" s="2" t="s">
        <v>21</v>
      </c>
      <c r="E524" s="2" t="s">
        <v>22</v>
      </c>
      <c r="F524" s="6" t="s">
        <v>120</v>
      </c>
      <c r="G524" s="6">
        <v>45602</v>
      </c>
      <c r="I524" s="2" t="s">
        <v>264</v>
      </c>
      <c r="L524" s="2" t="s">
        <v>283</v>
      </c>
      <c r="N524" s="2">
        <f t="shared" ca="1" si="24"/>
        <v>105</v>
      </c>
      <c r="O524" s="6">
        <f t="shared" ca="1" si="25"/>
        <v>45456</v>
      </c>
      <c r="P524" s="2">
        <f t="shared" ca="1" si="26"/>
        <v>1</v>
      </c>
    </row>
    <row r="525" spans="1:16" x14ac:dyDescent="0.35">
      <c r="A525" s="2" t="s">
        <v>32</v>
      </c>
      <c r="B525" s="2">
        <v>2886701</v>
      </c>
      <c r="C525" s="2" t="s">
        <v>33</v>
      </c>
      <c r="D525" s="2" t="s">
        <v>21</v>
      </c>
      <c r="E525" s="2" t="s">
        <v>22</v>
      </c>
      <c r="F525" s="6" t="s">
        <v>120</v>
      </c>
      <c r="G525" s="6">
        <v>45632</v>
      </c>
      <c r="I525" s="2" t="s">
        <v>264</v>
      </c>
      <c r="L525" s="2" t="s">
        <v>281</v>
      </c>
      <c r="N525" s="2">
        <f t="shared" ca="1" si="24"/>
        <v>127</v>
      </c>
      <c r="O525" s="6">
        <f t="shared" ca="1" si="25"/>
        <v>45456</v>
      </c>
      <c r="P525" s="2">
        <f t="shared" ca="1" si="26"/>
        <v>1</v>
      </c>
    </row>
    <row r="526" spans="1:16" x14ac:dyDescent="0.35">
      <c r="A526" s="2" t="s">
        <v>32</v>
      </c>
      <c r="B526" s="2">
        <v>2886702</v>
      </c>
      <c r="C526" s="2" t="s">
        <v>33</v>
      </c>
      <c r="D526" s="2" t="s">
        <v>21</v>
      </c>
      <c r="E526" s="2" t="s">
        <v>22</v>
      </c>
      <c r="F526" s="6" t="s">
        <v>120</v>
      </c>
      <c r="G526" s="6">
        <v>45602</v>
      </c>
      <c r="I526" s="2" t="s">
        <v>264</v>
      </c>
      <c r="L526" s="2" t="s">
        <v>284</v>
      </c>
      <c r="N526" s="2">
        <f t="shared" ca="1" si="24"/>
        <v>105</v>
      </c>
      <c r="O526" s="6">
        <f t="shared" ca="1" si="25"/>
        <v>45456</v>
      </c>
      <c r="P526" s="2">
        <f t="shared" ca="1" si="26"/>
        <v>1</v>
      </c>
    </row>
    <row r="527" spans="1:16" x14ac:dyDescent="0.35">
      <c r="A527" s="2" t="s">
        <v>32</v>
      </c>
      <c r="B527" s="2">
        <v>2886791</v>
      </c>
      <c r="C527" s="2" t="s">
        <v>33</v>
      </c>
      <c r="D527" s="2" t="s">
        <v>21</v>
      </c>
      <c r="E527" s="2" t="s">
        <v>22</v>
      </c>
      <c r="F527" s="6" t="s">
        <v>120</v>
      </c>
      <c r="G527" s="6">
        <v>45632</v>
      </c>
      <c r="I527" s="2" t="s">
        <v>264</v>
      </c>
      <c r="L527" s="2" t="s">
        <v>285</v>
      </c>
      <c r="N527" s="2">
        <f t="shared" ca="1" si="24"/>
        <v>127</v>
      </c>
      <c r="O527" s="6">
        <f t="shared" ca="1" si="25"/>
        <v>45456</v>
      </c>
      <c r="P527" s="2">
        <f t="shared" ca="1" si="26"/>
        <v>1</v>
      </c>
    </row>
    <row r="528" spans="1:16" x14ac:dyDescent="0.35">
      <c r="A528" s="2" t="s">
        <v>32</v>
      </c>
      <c r="B528" s="2">
        <v>2886792</v>
      </c>
      <c r="C528" s="2" t="s">
        <v>33</v>
      </c>
      <c r="D528" s="2" t="s">
        <v>21</v>
      </c>
      <c r="E528" s="2" t="s">
        <v>22</v>
      </c>
      <c r="F528" s="6" t="s">
        <v>120</v>
      </c>
      <c r="G528" s="6">
        <v>45632</v>
      </c>
      <c r="I528" s="2" t="s">
        <v>264</v>
      </c>
      <c r="L528" s="2" t="s">
        <v>285</v>
      </c>
      <c r="N528" s="2">
        <f t="shared" ca="1" si="24"/>
        <v>127</v>
      </c>
      <c r="O528" s="6">
        <f t="shared" ca="1" si="25"/>
        <v>45456</v>
      </c>
      <c r="P528" s="2">
        <f t="shared" ca="1" si="26"/>
        <v>1</v>
      </c>
    </row>
    <row r="529" spans="1:16" x14ac:dyDescent="0.35">
      <c r="A529" s="2" t="s">
        <v>32</v>
      </c>
      <c r="B529" s="2">
        <v>2886795</v>
      </c>
      <c r="C529" s="2" t="s">
        <v>33</v>
      </c>
      <c r="D529" s="2" t="s">
        <v>21</v>
      </c>
      <c r="E529" s="2" t="s">
        <v>22</v>
      </c>
      <c r="F529" s="6" t="s">
        <v>120</v>
      </c>
      <c r="G529" s="6">
        <v>45632</v>
      </c>
      <c r="I529" s="2" t="s">
        <v>264</v>
      </c>
      <c r="L529" s="2" t="s">
        <v>482</v>
      </c>
      <c r="N529" s="2">
        <f t="shared" ca="1" si="24"/>
        <v>127</v>
      </c>
      <c r="O529" s="6">
        <f t="shared" ca="1" si="25"/>
        <v>45456</v>
      </c>
      <c r="P529" s="2">
        <f t="shared" ca="1" si="26"/>
        <v>1</v>
      </c>
    </row>
    <row r="530" spans="1:16" x14ac:dyDescent="0.35">
      <c r="A530" s="2" t="s">
        <v>32</v>
      </c>
      <c r="B530" s="2">
        <v>2887438</v>
      </c>
      <c r="C530" s="2" t="s">
        <v>33</v>
      </c>
      <c r="D530" s="2" t="s">
        <v>21</v>
      </c>
      <c r="E530" s="2" t="s">
        <v>22</v>
      </c>
      <c r="F530" s="6" t="s">
        <v>140</v>
      </c>
      <c r="G530" s="6">
        <v>45632</v>
      </c>
      <c r="I530" s="2" t="s">
        <v>264</v>
      </c>
      <c r="L530" s="2" t="s">
        <v>286</v>
      </c>
      <c r="N530" s="2">
        <f t="shared" ca="1" si="24"/>
        <v>127</v>
      </c>
      <c r="O530" s="6">
        <f t="shared" ca="1" si="25"/>
        <v>45456</v>
      </c>
      <c r="P530" s="2">
        <f t="shared" ca="1" si="26"/>
        <v>1</v>
      </c>
    </row>
    <row r="531" spans="1:16" x14ac:dyDescent="0.35">
      <c r="A531" s="2" t="s">
        <v>32</v>
      </c>
      <c r="B531" s="2">
        <v>2887559</v>
      </c>
      <c r="C531" s="2" t="s">
        <v>33</v>
      </c>
      <c r="D531" s="2" t="s">
        <v>21</v>
      </c>
      <c r="E531" s="2" t="s">
        <v>22</v>
      </c>
      <c r="F531" s="6" t="s">
        <v>124</v>
      </c>
      <c r="G531" s="6" t="s">
        <v>141</v>
      </c>
      <c r="I531" s="2" t="s">
        <v>264</v>
      </c>
      <c r="L531" s="2" t="s">
        <v>287</v>
      </c>
      <c r="N531" s="2">
        <f t="shared" ca="1" si="24"/>
        <v>1</v>
      </c>
      <c r="O531" s="6">
        <f t="shared" ca="1" si="25"/>
        <v>45456</v>
      </c>
      <c r="P531" s="2">
        <f t="shared" ca="1" si="26"/>
        <v>1</v>
      </c>
    </row>
    <row r="532" spans="1:16" x14ac:dyDescent="0.35">
      <c r="A532" s="2" t="s">
        <v>32</v>
      </c>
      <c r="B532" s="2">
        <v>2887560</v>
      </c>
      <c r="C532" s="2" t="s">
        <v>33</v>
      </c>
      <c r="D532" s="2" t="s">
        <v>21</v>
      </c>
      <c r="E532" s="2" t="s">
        <v>22</v>
      </c>
      <c r="F532" s="6" t="s">
        <v>124</v>
      </c>
      <c r="G532" s="6" t="s">
        <v>141</v>
      </c>
      <c r="I532" s="2" t="s">
        <v>264</v>
      </c>
      <c r="L532" s="2" t="s">
        <v>287</v>
      </c>
      <c r="N532" s="2">
        <f t="shared" ca="1" si="24"/>
        <v>1</v>
      </c>
      <c r="O532" s="6">
        <f t="shared" ca="1" si="25"/>
        <v>45456</v>
      </c>
      <c r="P532" s="2">
        <f t="shared" ca="1" si="26"/>
        <v>1</v>
      </c>
    </row>
    <row r="533" spans="1:16" x14ac:dyDescent="0.35">
      <c r="A533" s="2" t="s">
        <v>32</v>
      </c>
      <c r="B533" s="2">
        <v>2887561</v>
      </c>
      <c r="C533" s="2" t="s">
        <v>33</v>
      </c>
      <c r="D533" s="2" t="s">
        <v>21</v>
      </c>
      <c r="E533" s="2" t="s">
        <v>22</v>
      </c>
      <c r="F533" s="6" t="s">
        <v>124</v>
      </c>
      <c r="G533" s="6" t="s">
        <v>141</v>
      </c>
      <c r="I533" s="2" t="s">
        <v>264</v>
      </c>
      <c r="L533" s="2" t="s">
        <v>287</v>
      </c>
      <c r="N533" s="2">
        <f t="shared" ca="1" si="24"/>
        <v>1</v>
      </c>
      <c r="O533" s="6">
        <f t="shared" ca="1" si="25"/>
        <v>45456</v>
      </c>
      <c r="P533" s="2">
        <f t="shared" ca="1" si="26"/>
        <v>1</v>
      </c>
    </row>
    <row r="534" spans="1:16" x14ac:dyDescent="0.35">
      <c r="A534" s="2" t="s">
        <v>32</v>
      </c>
      <c r="B534" s="2">
        <v>2887562</v>
      </c>
      <c r="C534" s="2" t="s">
        <v>33</v>
      </c>
      <c r="D534" s="2" t="s">
        <v>21</v>
      </c>
      <c r="E534" s="2" t="s">
        <v>22</v>
      </c>
      <c r="F534" s="6" t="s">
        <v>124</v>
      </c>
      <c r="G534" s="6" t="s">
        <v>141</v>
      </c>
      <c r="I534" s="2" t="s">
        <v>264</v>
      </c>
      <c r="L534" s="2" t="s">
        <v>287</v>
      </c>
      <c r="N534" s="2">
        <f t="shared" ca="1" si="24"/>
        <v>1</v>
      </c>
      <c r="O534" s="6">
        <f t="shared" ca="1" si="25"/>
        <v>45456</v>
      </c>
      <c r="P534" s="2">
        <f t="shared" ca="1" si="26"/>
        <v>1</v>
      </c>
    </row>
    <row r="535" spans="1:16" x14ac:dyDescent="0.35">
      <c r="A535" s="2" t="s">
        <v>32</v>
      </c>
      <c r="B535" s="2">
        <v>2887563</v>
      </c>
      <c r="C535" s="2" t="s">
        <v>33</v>
      </c>
      <c r="D535" s="2" t="s">
        <v>21</v>
      </c>
      <c r="E535" s="2" t="s">
        <v>22</v>
      </c>
      <c r="F535" s="6" t="s">
        <v>124</v>
      </c>
      <c r="G535" s="6" t="s">
        <v>141</v>
      </c>
      <c r="I535" s="2" t="s">
        <v>264</v>
      </c>
      <c r="L535" s="2" t="s">
        <v>287</v>
      </c>
      <c r="N535" s="2">
        <f t="shared" ca="1" si="24"/>
        <v>1</v>
      </c>
      <c r="O535" s="6">
        <f t="shared" ca="1" si="25"/>
        <v>45456</v>
      </c>
      <c r="P535" s="2">
        <f t="shared" ca="1" si="26"/>
        <v>1</v>
      </c>
    </row>
    <row r="536" spans="1:16" x14ac:dyDescent="0.35">
      <c r="A536" s="2" t="s">
        <v>32</v>
      </c>
      <c r="B536" s="2">
        <v>2887564</v>
      </c>
      <c r="C536" s="2" t="s">
        <v>33</v>
      </c>
      <c r="D536" s="2" t="s">
        <v>21</v>
      </c>
      <c r="E536" s="2" t="s">
        <v>22</v>
      </c>
      <c r="F536" s="6" t="s">
        <v>124</v>
      </c>
      <c r="G536" s="6" t="s">
        <v>141</v>
      </c>
      <c r="I536" s="2" t="s">
        <v>264</v>
      </c>
      <c r="L536" s="2" t="s">
        <v>287</v>
      </c>
      <c r="N536" s="2">
        <f t="shared" ca="1" si="24"/>
        <v>1</v>
      </c>
      <c r="O536" s="6">
        <f t="shared" ca="1" si="25"/>
        <v>45456</v>
      </c>
      <c r="P536" s="2">
        <f t="shared" ca="1" si="26"/>
        <v>1</v>
      </c>
    </row>
    <row r="537" spans="1:16" x14ac:dyDescent="0.35">
      <c r="A537" s="2" t="s">
        <v>32</v>
      </c>
      <c r="B537" s="2">
        <v>2887565</v>
      </c>
      <c r="C537" s="2" t="s">
        <v>33</v>
      </c>
      <c r="D537" s="2" t="s">
        <v>21</v>
      </c>
      <c r="E537" s="2" t="s">
        <v>22</v>
      </c>
      <c r="F537" s="6" t="s">
        <v>124</v>
      </c>
      <c r="G537" s="6" t="s">
        <v>141</v>
      </c>
      <c r="I537" s="2" t="s">
        <v>264</v>
      </c>
      <c r="L537" s="2" t="s">
        <v>287</v>
      </c>
      <c r="N537" s="2">
        <f t="shared" ca="1" si="24"/>
        <v>1</v>
      </c>
      <c r="O537" s="6">
        <f t="shared" ca="1" si="25"/>
        <v>45456</v>
      </c>
      <c r="P537" s="2">
        <f t="shared" ca="1" si="26"/>
        <v>1</v>
      </c>
    </row>
    <row r="538" spans="1:16" x14ac:dyDescent="0.35">
      <c r="A538" s="2" t="s">
        <v>32</v>
      </c>
      <c r="B538" s="2">
        <v>2887567</v>
      </c>
      <c r="C538" s="2" t="s">
        <v>33</v>
      </c>
      <c r="D538" s="2" t="s">
        <v>21</v>
      </c>
      <c r="E538" s="2" t="s">
        <v>22</v>
      </c>
      <c r="F538" s="6" t="s">
        <v>124</v>
      </c>
      <c r="G538" s="6" t="s">
        <v>141</v>
      </c>
      <c r="I538" s="2" t="s">
        <v>264</v>
      </c>
      <c r="L538" s="2" t="s">
        <v>287</v>
      </c>
      <c r="N538" s="2">
        <f t="shared" ca="1" si="24"/>
        <v>1</v>
      </c>
      <c r="O538" s="6">
        <f t="shared" ca="1" si="25"/>
        <v>45456</v>
      </c>
      <c r="P538" s="2">
        <f t="shared" ca="1" si="26"/>
        <v>1</v>
      </c>
    </row>
    <row r="539" spans="1:16" x14ac:dyDescent="0.35">
      <c r="A539" s="2" t="s">
        <v>32</v>
      </c>
      <c r="B539" s="2">
        <v>2887681</v>
      </c>
      <c r="C539" s="2" t="s">
        <v>33</v>
      </c>
      <c r="D539" s="2" t="s">
        <v>21</v>
      </c>
      <c r="E539" s="2" t="s">
        <v>22</v>
      </c>
      <c r="F539" s="6" t="s">
        <v>124</v>
      </c>
      <c r="G539" s="6" t="s">
        <v>141</v>
      </c>
      <c r="I539" s="2" t="s">
        <v>264</v>
      </c>
      <c r="L539" s="2" t="s">
        <v>702</v>
      </c>
      <c r="N539" s="2">
        <f t="shared" ca="1" si="24"/>
        <v>1</v>
      </c>
      <c r="O539" s="6">
        <f t="shared" ca="1" si="25"/>
        <v>45456</v>
      </c>
      <c r="P539" s="2">
        <f t="shared" ca="1" si="26"/>
        <v>1</v>
      </c>
    </row>
    <row r="540" spans="1:16" x14ac:dyDescent="0.35">
      <c r="A540" s="2" t="s">
        <v>32</v>
      </c>
      <c r="B540" s="2">
        <v>2887843</v>
      </c>
      <c r="C540" s="2" t="s">
        <v>33</v>
      </c>
      <c r="D540" s="2" t="s">
        <v>21</v>
      </c>
      <c r="E540" s="2" t="s">
        <v>22</v>
      </c>
      <c r="F540" s="6" t="s">
        <v>124</v>
      </c>
      <c r="G540" s="6">
        <v>45632</v>
      </c>
      <c r="I540" s="2" t="s">
        <v>264</v>
      </c>
      <c r="L540" s="2" t="s">
        <v>288</v>
      </c>
      <c r="N540" s="2">
        <f t="shared" ca="1" si="24"/>
        <v>127</v>
      </c>
      <c r="O540" s="6">
        <f t="shared" ca="1" si="25"/>
        <v>45456</v>
      </c>
      <c r="P540" s="2">
        <f t="shared" ca="1" si="26"/>
        <v>1</v>
      </c>
    </row>
    <row r="541" spans="1:16" x14ac:dyDescent="0.35">
      <c r="A541" s="2" t="s">
        <v>32</v>
      </c>
      <c r="B541" s="2">
        <v>2888122</v>
      </c>
      <c r="C541" s="2" t="s">
        <v>33</v>
      </c>
      <c r="D541" s="2" t="s">
        <v>21</v>
      </c>
      <c r="E541" s="2" t="s">
        <v>22</v>
      </c>
      <c r="F541" s="6" t="s">
        <v>124</v>
      </c>
      <c r="G541" s="6">
        <v>45632</v>
      </c>
      <c r="I541" s="2" t="s">
        <v>264</v>
      </c>
      <c r="L541" s="2" t="s">
        <v>289</v>
      </c>
      <c r="N541" s="2">
        <f t="shared" ca="1" si="24"/>
        <v>127</v>
      </c>
      <c r="O541" s="6">
        <f t="shared" ca="1" si="25"/>
        <v>45456</v>
      </c>
      <c r="P541" s="2">
        <f t="shared" ca="1" si="26"/>
        <v>1</v>
      </c>
    </row>
    <row r="542" spans="1:16" x14ac:dyDescent="0.35">
      <c r="A542" s="2" t="s">
        <v>32</v>
      </c>
      <c r="B542" s="2">
        <v>2888205</v>
      </c>
      <c r="C542" s="2" t="s">
        <v>33</v>
      </c>
      <c r="D542" s="2" t="s">
        <v>21</v>
      </c>
      <c r="E542" s="2" t="s">
        <v>22</v>
      </c>
      <c r="F542" s="6" t="s">
        <v>124</v>
      </c>
      <c r="G542" s="6">
        <v>45632</v>
      </c>
      <c r="I542" s="2" t="s">
        <v>264</v>
      </c>
      <c r="L542" s="2" t="s">
        <v>290</v>
      </c>
      <c r="N542" s="2">
        <f t="shared" ca="1" si="24"/>
        <v>127</v>
      </c>
      <c r="O542" s="6">
        <f t="shared" ca="1" si="25"/>
        <v>45456</v>
      </c>
      <c r="P542" s="2">
        <f t="shared" ca="1" si="26"/>
        <v>1</v>
      </c>
    </row>
    <row r="543" spans="1:16" x14ac:dyDescent="0.35">
      <c r="A543" s="2" t="s">
        <v>32</v>
      </c>
      <c r="B543" s="2">
        <v>2888252</v>
      </c>
      <c r="C543" s="2" t="s">
        <v>33</v>
      </c>
      <c r="D543" s="2" t="s">
        <v>21</v>
      </c>
      <c r="E543" s="2" t="s">
        <v>22</v>
      </c>
      <c r="F543" s="6" t="s">
        <v>124</v>
      </c>
      <c r="G543" s="6">
        <v>45632</v>
      </c>
      <c r="I543" s="2" t="s">
        <v>264</v>
      </c>
      <c r="L543" s="2" t="s">
        <v>290</v>
      </c>
      <c r="N543" s="2">
        <f t="shared" ca="1" si="24"/>
        <v>127</v>
      </c>
      <c r="O543" s="6">
        <f t="shared" ca="1" si="25"/>
        <v>45456</v>
      </c>
      <c r="P543" s="2">
        <f t="shared" ca="1" si="26"/>
        <v>1</v>
      </c>
    </row>
    <row r="544" spans="1:16" x14ac:dyDescent="0.35">
      <c r="A544" s="2" t="s">
        <v>32</v>
      </c>
      <c r="B544" s="2">
        <v>2888278</v>
      </c>
      <c r="C544" s="2" t="s">
        <v>33</v>
      </c>
      <c r="D544" s="2" t="s">
        <v>21</v>
      </c>
      <c r="E544" s="2" t="s">
        <v>22</v>
      </c>
      <c r="F544" s="6" t="s">
        <v>124</v>
      </c>
      <c r="G544" s="6" t="s">
        <v>141</v>
      </c>
      <c r="I544" s="2" t="s">
        <v>264</v>
      </c>
      <c r="L544" s="2" t="s">
        <v>703</v>
      </c>
      <c r="N544" s="2">
        <f t="shared" ca="1" si="24"/>
        <v>1</v>
      </c>
      <c r="O544" s="6">
        <f t="shared" ca="1" si="25"/>
        <v>45456</v>
      </c>
      <c r="P544" s="2">
        <f t="shared" ca="1" si="26"/>
        <v>1</v>
      </c>
    </row>
    <row r="545" spans="1:16" x14ac:dyDescent="0.35">
      <c r="A545" s="2" t="s">
        <v>32</v>
      </c>
      <c r="B545" s="2">
        <v>2888387</v>
      </c>
      <c r="C545" s="2" t="s">
        <v>33</v>
      </c>
      <c r="D545" s="2" t="s">
        <v>21</v>
      </c>
      <c r="E545" s="2" t="s">
        <v>22</v>
      </c>
      <c r="F545" s="6" t="s">
        <v>124</v>
      </c>
      <c r="G545" s="6">
        <v>45632</v>
      </c>
      <c r="I545" s="2" t="s">
        <v>264</v>
      </c>
      <c r="L545" s="2" t="s">
        <v>291</v>
      </c>
      <c r="N545" s="2">
        <f t="shared" ca="1" si="24"/>
        <v>127</v>
      </c>
      <c r="O545" s="6">
        <f t="shared" ca="1" si="25"/>
        <v>45456</v>
      </c>
      <c r="P545" s="2">
        <f t="shared" ca="1" si="26"/>
        <v>1</v>
      </c>
    </row>
    <row r="546" spans="1:16" x14ac:dyDescent="0.35">
      <c r="A546" s="2" t="s">
        <v>32</v>
      </c>
      <c r="B546" s="2">
        <v>2888405</v>
      </c>
      <c r="C546" s="2" t="s">
        <v>33</v>
      </c>
      <c r="D546" s="2" t="s">
        <v>21</v>
      </c>
      <c r="E546" s="2" t="s">
        <v>22</v>
      </c>
      <c r="F546" s="6" t="s">
        <v>124</v>
      </c>
      <c r="G546" s="6">
        <v>45632</v>
      </c>
      <c r="I546" s="2" t="s">
        <v>264</v>
      </c>
      <c r="L546" s="2" t="s">
        <v>292</v>
      </c>
      <c r="N546" s="2">
        <f t="shared" ca="1" si="24"/>
        <v>127</v>
      </c>
      <c r="O546" s="6">
        <f t="shared" ca="1" si="25"/>
        <v>45456</v>
      </c>
      <c r="P546" s="2">
        <f t="shared" ca="1" si="26"/>
        <v>1</v>
      </c>
    </row>
    <row r="547" spans="1:16" x14ac:dyDescent="0.35">
      <c r="A547" s="2" t="s">
        <v>32</v>
      </c>
      <c r="B547" s="2">
        <v>2888408</v>
      </c>
      <c r="C547" s="2" t="s">
        <v>33</v>
      </c>
      <c r="D547" s="2" t="s">
        <v>21</v>
      </c>
      <c r="E547" s="2" t="s">
        <v>22</v>
      </c>
      <c r="F547" s="6" t="s">
        <v>124</v>
      </c>
      <c r="G547" s="6">
        <v>45632</v>
      </c>
      <c r="I547" s="2" t="s">
        <v>264</v>
      </c>
      <c r="L547" s="2" t="s">
        <v>483</v>
      </c>
      <c r="N547" s="2">
        <f t="shared" ca="1" si="24"/>
        <v>127</v>
      </c>
      <c r="O547" s="6">
        <f t="shared" ca="1" si="25"/>
        <v>45456</v>
      </c>
      <c r="P547" s="2">
        <f t="shared" ca="1" si="26"/>
        <v>1</v>
      </c>
    </row>
    <row r="548" spans="1:16" x14ac:dyDescent="0.35">
      <c r="A548" s="2" t="s">
        <v>32</v>
      </c>
      <c r="B548" s="2">
        <v>2888424</v>
      </c>
      <c r="C548" s="2" t="s">
        <v>33</v>
      </c>
      <c r="D548" s="2" t="s">
        <v>21</v>
      </c>
      <c r="E548" s="2" t="s">
        <v>22</v>
      </c>
      <c r="F548" s="6" t="s">
        <v>124</v>
      </c>
      <c r="G548" s="6">
        <v>45632</v>
      </c>
      <c r="I548" s="2" t="s">
        <v>264</v>
      </c>
      <c r="L548" s="2" t="s">
        <v>483</v>
      </c>
      <c r="N548" s="2">
        <f t="shared" ca="1" si="24"/>
        <v>127</v>
      </c>
      <c r="O548" s="6">
        <f t="shared" ca="1" si="25"/>
        <v>45456</v>
      </c>
      <c r="P548" s="2">
        <f t="shared" ca="1" si="26"/>
        <v>1</v>
      </c>
    </row>
    <row r="549" spans="1:16" x14ac:dyDescent="0.35">
      <c r="A549" s="2" t="s">
        <v>32</v>
      </c>
      <c r="B549" s="2">
        <v>2888427</v>
      </c>
      <c r="C549" s="2" t="s">
        <v>33</v>
      </c>
      <c r="D549" s="2" t="s">
        <v>21</v>
      </c>
      <c r="E549" s="2" t="s">
        <v>22</v>
      </c>
      <c r="F549" s="6" t="s">
        <v>124</v>
      </c>
      <c r="G549" s="6" t="s">
        <v>141</v>
      </c>
      <c r="I549" s="2" t="s">
        <v>264</v>
      </c>
      <c r="L549" s="2" t="s">
        <v>703</v>
      </c>
      <c r="N549" s="2">
        <f t="shared" ca="1" si="24"/>
        <v>1</v>
      </c>
      <c r="O549" s="6">
        <f t="shared" ca="1" si="25"/>
        <v>45456</v>
      </c>
      <c r="P549" s="2">
        <f t="shared" ca="1" si="26"/>
        <v>1</v>
      </c>
    </row>
    <row r="550" spans="1:16" x14ac:dyDescent="0.35">
      <c r="A550" s="2" t="s">
        <v>32</v>
      </c>
      <c r="B550" s="2">
        <v>2888442</v>
      </c>
      <c r="C550" s="2" t="s">
        <v>33</v>
      </c>
      <c r="D550" s="2" t="s">
        <v>21</v>
      </c>
      <c r="E550" s="2" t="s">
        <v>22</v>
      </c>
      <c r="F550" s="6" t="s">
        <v>124</v>
      </c>
      <c r="G550" s="6">
        <v>45632</v>
      </c>
      <c r="I550" s="2" t="s">
        <v>264</v>
      </c>
      <c r="L550" s="2" t="s">
        <v>293</v>
      </c>
      <c r="N550" s="2">
        <f t="shared" ca="1" si="24"/>
        <v>127</v>
      </c>
      <c r="O550" s="6">
        <f t="shared" ca="1" si="25"/>
        <v>45456</v>
      </c>
      <c r="P550" s="2">
        <f t="shared" ca="1" si="26"/>
        <v>1</v>
      </c>
    </row>
    <row r="551" spans="1:16" x14ac:dyDescent="0.35">
      <c r="A551" s="2" t="s">
        <v>32</v>
      </c>
      <c r="B551" s="2">
        <v>2888507</v>
      </c>
      <c r="C551" s="2" t="s">
        <v>33</v>
      </c>
      <c r="D551" s="2" t="s">
        <v>21</v>
      </c>
      <c r="E551" s="2" t="s">
        <v>22</v>
      </c>
      <c r="F551" s="6" t="s">
        <v>124</v>
      </c>
      <c r="G551" s="6" t="s">
        <v>141</v>
      </c>
      <c r="I551" s="2" t="s">
        <v>264</v>
      </c>
      <c r="L551" s="2" t="s">
        <v>704</v>
      </c>
      <c r="N551" s="2">
        <f t="shared" ca="1" si="24"/>
        <v>1</v>
      </c>
      <c r="O551" s="6">
        <f t="shared" ca="1" si="25"/>
        <v>45456</v>
      </c>
      <c r="P551" s="2">
        <f t="shared" ca="1" si="26"/>
        <v>1</v>
      </c>
    </row>
    <row r="552" spans="1:16" x14ac:dyDescent="0.35">
      <c r="A552" s="2" t="s">
        <v>32</v>
      </c>
      <c r="B552" s="2">
        <v>2888511</v>
      </c>
      <c r="C552" s="2" t="s">
        <v>33</v>
      </c>
      <c r="D552" s="2" t="s">
        <v>21</v>
      </c>
      <c r="E552" s="2" t="s">
        <v>22</v>
      </c>
      <c r="F552" s="6" t="s">
        <v>124</v>
      </c>
      <c r="G552" s="6" t="s">
        <v>141</v>
      </c>
      <c r="I552" s="2" t="s">
        <v>264</v>
      </c>
      <c r="L552" s="2" t="s">
        <v>705</v>
      </c>
      <c r="N552" s="2">
        <f t="shared" ca="1" si="24"/>
        <v>1</v>
      </c>
      <c r="O552" s="6">
        <f t="shared" ca="1" si="25"/>
        <v>45456</v>
      </c>
      <c r="P552" s="2">
        <f t="shared" ca="1" si="26"/>
        <v>1</v>
      </c>
    </row>
    <row r="553" spans="1:16" x14ac:dyDescent="0.35">
      <c r="A553" s="2" t="s">
        <v>32</v>
      </c>
      <c r="B553" s="2">
        <v>2888514</v>
      </c>
      <c r="C553" s="2" t="s">
        <v>33</v>
      </c>
      <c r="D553" s="2" t="s">
        <v>21</v>
      </c>
      <c r="E553" s="2" t="s">
        <v>22</v>
      </c>
      <c r="F553" s="6" t="s">
        <v>124</v>
      </c>
      <c r="G553" s="6" t="s">
        <v>141</v>
      </c>
      <c r="I553" s="2" t="s">
        <v>264</v>
      </c>
      <c r="L553" s="2" t="s">
        <v>704</v>
      </c>
      <c r="N553" s="2">
        <f t="shared" ca="1" si="24"/>
        <v>1</v>
      </c>
      <c r="O553" s="6">
        <f t="shared" ca="1" si="25"/>
        <v>45456</v>
      </c>
      <c r="P553" s="2">
        <f t="shared" ca="1" si="26"/>
        <v>1</v>
      </c>
    </row>
    <row r="554" spans="1:16" x14ac:dyDescent="0.35">
      <c r="A554" s="2" t="s">
        <v>32</v>
      </c>
      <c r="B554" s="2">
        <v>2888530</v>
      </c>
      <c r="C554" s="2" t="s">
        <v>33</v>
      </c>
      <c r="D554" s="2" t="s">
        <v>21</v>
      </c>
      <c r="E554" s="2" t="s">
        <v>22</v>
      </c>
      <c r="F554" s="6" t="s">
        <v>124</v>
      </c>
      <c r="G554" s="6">
        <v>45632</v>
      </c>
      <c r="I554" s="2" t="s">
        <v>264</v>
      </c>
      <c r="L554" s="2" t="s">
        <v>294</v>
      </c>
      <c r="N554" s="2">
        <f t="shared" ca="1" si="24"/>
        <v>127</v>
      </c>
      <c r="O554" s="6">
        <f t="shared" ca="1" si="25"/>
        <v>45456</v>
      </c>
      <c r="P554" s="2">
        <f t="shared" ca="1" si="26"/>
        <v>1</v>
      </c>
    </row>
    <row r="555" spans="1:16" x14ac:dyDescent="0.35">
      <c r="A555" s="2" t="s">
        <v>32</v>
      </c>
      <c r="B555" s="2">
        <v>2888534</v>
      </c>
      <c r="C555" s="2" t="s">
        <v>33</v>
      </c>
      <c r="D555" s="2" t="s">
        <v>21</v>
      </c>
      <c r="E555" s="2" t="s">
        <v>22</v>
      </c>
      <c r="F555" s="6" t="s">
        <v>124</v>
      </c>
      <c r="G555" s="6">
        <v>45632</v>
      </c>
      <c r="I555" s="2" t="s">
        <v>264</v>
      </c>
      <c r="L555" s="2" t="s">
        <v>484</v>
      </c>
      <c r="N555" s="2">
        <f t="shared" ca="1" si="24"/>
        <v>127</v>
      </c>
      <c r="O555" s="6">
        <f t="shared" ca="1" si="25"/>
        <v>45456</v>
      </c>
      <c r="P555" s="2">
        <f t="shared" ca="1" si="26"/>
        <v>1</v>
      </c>
    </row>
    <row r="556" spans="1:16" x14ac:dyDescent="0.35">
      <c r="A556" s="2" t="s">
        <v>32</v>
      </c>
      <c r="B556" s="2">
        <v>2888576</v>
      </c>
      <c r="C556" s="2" t="s">
        <v>33</v>
      </c>
      <c r="D556" s="2" t="s">
        <v>21</v>
      </c>
      <c r="E556" s="2" t="s">
        <v>22</v>
      </c>
      <c r="F556" s="6" t="s">
        <v>124</v>
      </c>
      <c r="G556" s="6">
        <v>45632</v>
      </c>
      <c r="I556" s="2" t="s">
        <v>264</v>
      </c>
      <c r="L556" s="2" t="s">
        <v>295</v>
      </c>
      <c r="N556" s="2">
        <f t="shared" ca="1" si="24"/>
        <v>127</v>
      </c>
      <c r="O556" s="6">
        <f t="shared" ca="1" si="25"/>
        <v>45456</v>
      </c>
      <c r="P556" s="2">
        <f t="shared" ca="1" si="26"/>
        <v>1</v>
      </c>
    </row>
    <row r="557" spans="1:16" x14ac:dyDescent="0.35">
      <c r="A557" s="2" t="s">
        <v>32</v>
      </c>
      <c r="B557" s="2">
        <v>2888582</v>
      </c>
      <c r="C557" s="2" t="s">
        <v>33</v>
      </c>
      <c r="D557" s="2" t="s">
        <v>21</v>
      </c>
      <c r="E557" s="2" t="s">
        <v>22</v>
      </c>
      <c r="F557" s="6" t="s">
        <v>124</v>
      </c>
      <c r="G557" s="6">
        <v>45632</v>
      </c>
      <c r="I557" s="2" t="s">
        <v>264</v>
      </c>
      <c r="L557" s="2" t="s">
        <v>296</v>
      </c>
      <c r="N557" s="2">
        <f t="shared" ca="1" si="24"/>
        <v>127</v>
      </c>
      <c r="O557" s="6">
        <f t="shared" ca="1" si="25"/>
        <v>45456</v>
      </c>
      <c r="P557" s="2">
        <f t="shared" ca="1" si="26"/>
        <v>1</v>
      </c>
    </row>
    <row r="558" spans="1:16" x14ac:dyDescent="0.35">
      <c r="A558" s="2" t="s">
        <v>32</v>
      </c>
      <c r="B558" s="2">
        <v>2888586</v>
      </c>
      <c r="C558" s="2" t="s">
        <v>33</v>
      </c>
      <c r="D558" s="2" t="s">
        <v>21</v>
      </c>
      <c r="E558" s="2" t="s">
        <v>22</v>
      </c>
      <c r="F558" s="6" t="s">
        <v>124</v>
      </c>
      <c r="G558" s="6">
        <v>45632</v>
      </c>
      <c r="I558" s="2" t="s">
        <v>264</v>
      </c>
      <c r="L558" s="2" t="s">
        <v>297</v>
      </c>
      <c r="N558" s="2">
        <f t="shared" ca="1" si="24"/>
        <v>127</v>
      </c>
      <c r="O558" s="6">
        <f t="shared" ca="1" si="25"/>
        <v>45456</v>
      </c>
      <c r="P558" s="2">
        <f t="shared" ca="1" si="26"/>
        <v>1</v>
      </c>
    </row>
    <row r="559" spans="1:16" x14ac:dyDescent="0.35">
      <c r="A559" s="2" t="s">
        <v>32</v>
      </c>
      <c r="B559" s="2">
        <v>2888604</v>
      </c>
      <c r="C559" s="2" t="s">
        <v>33</v>
      </c>
      <c r="D559" s="2" t="s">
        <v>21</v>
      </c>
      <c r="E559" s="2" t="s">
        <v>22</v>
      </c>
      <c r="F559" s="6" t="s">
        <v>124</v>
      </c>
      <c r="G559" s="6">
        <v>45632</v>
      </c>
      <c r="I559" s="2" t="s">
        <v>264</v>
      </c>
      <c r="L559" s="2" t="s">
        <v>298</v>
      </c>
      <c r="N559" s="2">
        <f t="shared" ca="1" si="24"/>
        <v>127</v>
      </c>
      <c r="O559" s="6">
        <f t="shared" ca="1" si="25"/>
        <v>45456</v>
      </c>
      <c r="P559" s="2">
        <f t="shared" ca="1" si="26"/>
        <v>1</v>
      </c>
    </row>
    <row r="560" spans="1:16" x14ac:dyDescent="0.35">
      <c r="A560" s="2" t="s">
        <v>32</v>
      </c>
      <c r="B560" s="2">
        <v>2888611</v>
      </c>
      <c r="C560" s="2" t="s">
        <v>33</v>
      </c>
      <c r="D560" s="2" t="s">
        <v>21</v>
      </c>
      <c r="E560" s="2" t="s">
        <v>22</v>
      </c>
      <c r="F560" s="6" t="s">
        <v>124</v>
      </c>
      <c r="G560" s="6" t="s">
        <v>141</v>
      </c>
      <c r="I560" s="2" t="s">
        <v>264</v>
      </c>
      <c r="L560" s="2" t="s">
        <v>704</v>
      </c>
      <c r="N560" s="2">
        <f t="shared" ca="1" si="24"/>
        <v>1</v>
      </c>
      <c r="O560" s="6">
        <f t="shared" ca="1" si="25"/>
        <v>45456</v>
      </c>
      <c r="P560" s="2">
        <f t="shared" ca="1" si="26"/>
        <v>1</v>
      </c>
    </row>
    <row r="561" spans="1:16" x14ac:dyDescent="0.35">
      <c r="A561" s="2" t="s">
        <v>32</v>
      </c>
      <c r="B561" s="2">
        <v>2888614</v>
      </c>
      <c r="C561" s="2" t="s">
        <v>33</v>
      </c>
      <c r="D561" s="2" t="s">
        <v>21</v>
      </c>
      <c r="E561" s="2" t="s">
        <v>22</v>
      </c>
      <c r="F561" s="6" t="s">
        <v>124</v>
      </c>
      <c r="G561" s="6">
        <v>45632</v>
      </c>
      <c r="I561" s="2" t="s">
        <v>264</v>
      </c>
      <c r="L561" s="2" t="s">
        <v>485</v>
      </c>
      <c r="N561" s="2">
        <f t="shared" ca="1" si="24"/>
        <v>127</v>
      </c>
      <c r="O561" s="6">
        <f t="shared" ca="1" si="25"/>
        <v>45456</v>
      </c>
      <c r="P561" s="2">
        <f t="shared" ca="1" si="26"/>
        <v>1</v>
      </c>
    </row>
    <row r="562" spans="1:16" x14ac:dyDescent="0.35">
      <c r="A562" s="2" t="s">
        <v>32</v>
      </c>
      <c r="B562" s="2">
        <v>2888618</v>
      </c>
      <c r="C562" s="2" t="s">
        <v>33</v>
      </c>
      <c r="D562" s="2" t="s">
        <v>21</v>
      </c>
      <c r="E562" s="2" t="s">
        <v>22</v>
      </c>
      <c r="F562" s="6" t="s">
        <v>124</v>
      </c>
      <c r="G562" s="6">
        <v>45632</v>
      </c>
      <c r="I562" s="2" t="s">
        <v>264</v>
      </c>
      <c r="L562" s="2" t="s">
        <v>299</v>
      </c>
      <c r="N562" s="2">
        <f t="shared" ca="1" si="24"/>
        <v>127</v>
      </c>
      <c r="O562" s="6">
        <f t="shared" ca="1" si="25"/>
        <v>45456</v>
      </c>
      <c r="P562" s="2">
        <f t="shared" ca="1" si="26"/>
        <v>1</v>
      </c>
    </row>
    <row r="563" spans="1:16" x14ac:dyDescent="0.35">
      <c r="A563" s="2" t="s">
        <v>32</v>
      </c>
      <c r="B563" s="2">
        <v>2888636</v>
      </c>
      <c r="C563" s="2" t="s">
        <v>33</v>
      </c>
      <c r="D563" s="2" t="s">
        <v>21</v>
      </c>
      <c r="E563" s="2" t="s">
        <v>22</v>
      </c>
      <c r="F563" s="6" t="s">
        <v>124</v>
      </c>
      <c r="G563" s="6">
        <v>45632</v>
      </c>
      <c r="I563" s="2" t="s">
        <v>264</v>
      </c>
      <c r="L563" s="2" t="s">
        <v>300</v>
      </c>
      <c r="N563" s="2">
        <f t="shared" ca="1" si="24"/>
        <v>127</v>
      </c>
      <c r="O563" s="6">
        <f t="shared" ca="1" si="25"/>
        <v>45456</v>
      </c>
      <c r="P563" s="2">
        <f t="shared" ca="1" si="26"/>
        <v>1</v>
      </c>
    </row>
    <row r="564" spans="1:16" x14ac:dyDescent="0.35">
      <c r="A564" s="2" t="s">
        <v>32</v>
      </c>
      <c r="B564" s="2">
        <v>2888681</v>
      </c>
      <c r="C564" s="2" t="s">
        <v>33</v>
      </c>
      <c r="D564" s="2" t="s">
        <v>21</v>
      </c>
      <c r="E564" s="2" t="s">
        <v>22</v>
      </c>
      <c r="F564" s="6" t="s">
        <v>124</v>
      </c>
      <c r="G564" s="6">
        <v>45632</v>
      </c>
      <c r="I564" s="2" t="s">
        <v>264</v>
      </c>
      <c r="L564" s="2" t="s">
        <v>300</v>
      </c>
      <c r="N564" s="2">
        <f t="shared" ca="1" si="24"/>
        <v>127</v>
      </c>
      <c r="O564" s="6">
        <f t="shared" ca="1" si="25"/>
        <v>45456</v>
      </c>
      <c r="P564" s="2">
        <f t="shared" ca="1" si="26"/>
        <v>1</v>
      </c>
    </row>
    <row r="565" spans="1:16" x14ac:dyDescent="0.35">
      <c r="A565" s="2" t="s">
        <v>32</v>
      </c>
      <c r="B565" s="2">
        <v>2888683</v>
      </c>
      <c r="C565" s="2" t="s">
        <v>33</v>
      </c>
      <c r="D565" s="2" t="s">
        <v>21</v>
      </c>
      <c r="E565" s="2" t="s">
        <v>22</v>
      </c>
      <c r="F565" s="6" t="s">
        <v>124</v>
      </c>
      <c r="G565" s="6" t="s">
        <v>141</v>
      </c>
      <c r="I565" s="2" t="s">
        <v>264</v>
      </c>
      <c r="L565" s="2" t="s">
        <v>706</v>
      </c>
      <c r="N565" s="2">
        <f t="shared" ca="1" si="24"/>
        <v>1</v>
      </c>
      <c r="O565" s="6">
        <f t="shared" ca="1" si="25"/>
        <v>45456</v>
      </c>
      <c r="P565" s="2">
        <f t="shared" ca="1" si="26"/>
        <v>1</v>
      </c>
    </row>
    <row r="566" spans="1:16" x14ac:dyDescent="0.35">
      <c r="A566" s="2" t="s">
        <v>32</v>
      </c>
      <c r="B566" s="2">
        <v>2888684</v>
      </c>
      <c r="C566" s="2" t="s">
        <v>33</v>
      </c>
      <c r="D566" s="2" t="s">
        <v>21</v>
      </c>
      <c r="E566" s="2" t="s">
        <v>22</v>
      </c>
      <c r="F566" s="6" t="s">
        <v>124</v>
      </c>
      <c r="G566" s="6">
        <v>45632</v>
      </c>
      <c r="I566" s="2" t="s">
        <v>264</v>
      </c>
      <c r="L566" s="2" t="s">
        <v>301</v>
      </c>
      <c r="N566" s="2">
        <f t="shared" ca="1" si="24"/>
        <v>127</v>
      </c>
      <c r="O566" s="6">
        <f t="shared" ca="1" si="25"/>
        <v>45456</v>
      </c>
      <c r="P566" s="2">
        <f t="shared" ca="1" si="26"/>
        <v>1</v>
      </c>
    </row>
    <row r="567" spans="1:16" x14ac:dyDescent="0.35">
      <c r="A567" s="2" t="s">
        <v>32</v>
      </c>
      <c r="B567" s="2">
        <v>2888690</v>
      </c>
      <c r="C567" s="2" t="s">
        <v>33</v>
      </c>
      <c r="D567" s="2" t="s">
        <v>21</v>
      </c>
      <c r="E567" s="2" t="s">
        <v>22</v>
      </c>
      <c r="F567" s="6" t="s">
        <v>124</v>
      </c>
      <c r="G567" s="6">
        <v>45632</v>
      </c>
      <c r="I567" s="2" t="s">
        <v>264</v>
      </c>
      <c r="L567" s="2" t="s">
        <v>302</v>
      </c>
      <c r="N567" s="2">
        <f t="shared" ca="1" si="24"/>
        <v>127</v>
      </c>
      <c r="O567" s="6">
        <f t="shared" ca="1" si="25"/>
        <v>45456</v>
      </c>
      <c r="P567" s="2">
        <f t="shared" ca="1" si="26"/>
        <v>1</v>
      </c>
    </row>
    <row r="568" spans="1:16" x14ac:dyDescent="0.35">
      <c r="A568" s="2" t="s">
        <v>32</v>
      </c>
      <c r="B568" s="2">
        <v>2888701</v>
      </c>
      <c r="C568" s="2" t="s">
        <v>33</v>
      </c>
      <c r="D568" s="2" t="s">
        <v>21</v>
      </c>
      <c r="E568" s="2" t="s">
        <v>22</v>
      </c>
      <c r="F568" s="6" t="s">
        <v>124</v>
      </c>
      <c r="G568" s="6">
        <v>45632</v>
      </c>
      <c r="I568" s="2" t="s">
        <v>264</v>
      </c>
      <c r="L568" s="2" t="s">
        <v>299</v>
      </c>
      <c r="N568" s="2">
        <f t="shared" ca="1" si="24"/>
        <v>127</v>
      </c>
      <c r="O568" s="6">
        <f t="shared" ca="1" si="25"/>
        <v>45456</v>
      </c>
      <c r="P568" s="2">
        <f t="shared" ca="1" si="26"/>
        <v>1</v>
      </c>
    </row>
    <row r="569" spans="1:16" x14ac:dyDescent="0.35">
      <c r="A569" s="2" t="s">
        <v>32</v>
      </c>
      <c r="B569" s="2">
        <v>2888711</v>
      </c>
      <c r="C569" s="2" t="s">
        <v>33</v>
      </c>
      <c r="D569" s="2" t="s">
        <v>21</v>
      </c>
      <c r="E569" s="2" t="s">
        <v>22</v>
      </c>
      <c r="F569" s="6" t="s">
        <v>124</v>
      </c>
      <c r="G569" s="6" t="s">
        <v>141</v>
      </c>
      <c r="I569" s="2" t="s">
        <v>264</v>
      </c>
      <c r="L569" s="2" t="s">
        <v>480</v>
      </c>
      <c r="N569" s="2">
        <f t="shared" ca="1" si="24"/>
        <v>1</v>
      </c>
      <c r="O569" s="6">
        <f t="shared" ca="1" si="25"/>
        <v>45456</v>
      </c>
      <c r="P569" s="2">
        <f t="shared" ca="1" si="26"/>
        <v>1</v>
      </c>
    </row>
    <row r="570" spans="1:16" x14ac:dyDescent="0.35">
      <c r="A570" s="2" t="s">
        <v>32</v>
      </c>
      <c r="B570" s="2">
        <v>2888972</v>
      </c>
      <c r="C570" s="2" t="s">
        <v>33</v>
      </c>
      <c r="D570" s="2" t="s">
        <v>21</v>
      </c>
      <c r="E570" s="2" t="s">
        <v>22</v>
      </c>
      <c r="F570" s="6" t="s">
        <v>124</v>
      </c>
      <c r="G570" s="6" t="s">
        <v>141</v>
      </c>
      <c r="I570" s="2" t="s">
        <v>264</v>
      </c>
      <c r="L570" s="2" t="s">
        <v>707</v>
      </c>
      <c r="N570" s="2">
        <f t="shared" ca="1" si="24"/>
        <v>1</v>
      </c>
      <c r="O570" s="6">
        <f t="shared" ca="1" si="25"/>
        <v>45456</v>
      </c>
      <c r="P570" s="2">
        <f t="shared" ca="1" si="26"/>
        <v>1</v>
      </c>
    </row>
    <row r="571" spans="1:16" x14ac:dyDescent="0.35">
      <c r="A571" s="2" t="s">
        <v>32</v>
      </c>
      <c r="B571" s="2">
        <v>2888992</v>
      </c>
      <c r="C571" s="2" t="s">
        <v>33</v>
      </c>
      <c r="D571" s="2" t="s">
        <v>21</v>
      </c>
      <c r="E571" s="2" t="s">
        <v>22</v>
      </c>
      <c r="F571" s="6" t="s">
        <v>124</v>
      </c>
      <c r="G571" s="6">
        <v>45632</v>
      </c>
      <c r="I571" s="2" t="s">
        <v>264</v>
      </c>
      <c r="L571" s="2" t="s">
        <v>303</v>
      </c>
      <c r="N571" s="2">
        <f t="shared" ca="1" si="24"/>
        <v>127</v>
      </c>
      <c r="O571" s="6">
        <f t="shared" ca="1" si="25"/>
        <v>45456</v>
      </c>
      <c r="P571" s="2">
        <f t="shared" ca="1" si="26"/>
        <v>1</v>
      </c>
    </row>
    <row r="572" spans="1:16" x14ac:dyDescent="0.35">
      <c r="A572" s="2" t="s">
        <v>32</v>
      </c>
      <c r="B572" s="2">
        <v>2889023</v>
      </c>
      <c r="C572" s="2" t="s">
        <v>33</v>
      </c>
      <c r="D572" s="2" t="s">
        <v>21</v>
      </c>
      <c r="E572" s="2" t="s">
        <v>22</v>
      </c>
      <c r="F572" s="6" t="s">
        <v>124</v>
      </c>
      <c r="G572" s="6" t="s">
        <v>141</v>
      </c>
      <c r="I572" s="2" t="s">
        <v>264</v>
      </c>
      <c r="L572" s="2" t="s">
        <v>674</v>
      </c>
      <c r="N572" s="2">
        <f t="shared" ca="1" si="24"/>
        <v>1</v>
      </c>
      <c r="O572" s="6">
        <f t="shared" ca="1" si="25"/>
        <v>45456</v>
      </c>
      <c r="P572" s="2">
        <f t="shared" ca="1" si="26"/>
        <v>1</v>
      </c>
    </row>
    <row r="573" spans="1:16" x14ac:dyDescent="0.35">
      <c r="A573" s="2" t="s">
        <v>32</v>
      </c>
      <c r="B573" s="2">
        <v>2889027</v>
      </c>
      <c r="C573" s="2" t="s">
        <v>33</v>
      </c>
      <c r="D573" s="2" t="s">
        <v>21</v>
      </c>
      <c r="E573" s="2" t="s">
        <v>22</v>
      </c>
      <c r="F573" s="6" t="s">
        <v>124</v>
      </c>
      <c r="G573" s="6" t="s">
        <v>141</v>
      </c>
      <c r="I573" s="2" t="s">
        <v>264</v>
      </c>
      <c r="L573" s="2" t="s">
        <v>671</v>
      </c>
      <c r="N573" s="2">
        <f t="shared" ca="1" si="24"/>
        <v>1</v>
      </c>
      <c r="O573" s="6">
        <f t="shared" ca="1" si="25"/>
        <v>45456</v>
      </c>
      <c r="P573" s="2">
        <f t="shared" ca="1" si="26"/>
        <v>1</v>
      </c>
    </row>
    <row r="574" spans="1:16" x14ac:dyDescent="0.35">
      <c r="A574" s="2" t="s">
        <v>32</v>
      </c>
      <c r="B574" s="2">
        <v>2889033</v>
      </c>
      <c r="C574" s="2" t="s">
        <v>33</v>
      </c>
      <c r="D574" s="2" t="s">
        <v>21</v>
      </c>
      <c r="E574" s="2" t="s">
        <v>22</v>
      </c>
      <c r="F574" s="6" t="s">
        <v>124</v>
      </c>
      <c r="G574" s="6">
        <v>45632</v>
      </c>
      <c r="I574" s="2" t="s">
        <v>264</v>
      </c>
      <c r="L574" s="2" t="s">
        <v>304</v>
      </c>
      <c r="N574" s="2">
        <f t="shared" ca="1" si="24"/>
        <v>127</v>
      </c>
      <c r="O574" s="6">
        <f t="shared" ca="1" si="25"/>
        <v>45456</v>
      </c>
      <c r="P574" s="2">
        <f t="shared" ca="1" si="26"/>
        <v>1</v>
      </c>
    </row>
    <row r="575" spans="1:16" x14ac:dyDescent="0.35">
      <c r="A575" s="2" t="s">
        <v>32</v>
      </c>
      <c r="B575" s="2">
        <v>2889098</v>
      </c>
      <c r="C575" s="2" t="s">
        <v>33</v>
      </c>
      <c r="D575" s="2" t="s">
        <v>21</v>
      </c>
      <c r="E575" s="2" t="s">
        <v>22</v>
      </c>
      <c r="F575" s="6" t="s">
        <v>124</v>
      </c>
      <c r="G575" s="6" t="s">
        <v>141</v>
      </c>
      <c r="I575" s="2" t="s">
        <v>264</v>
      </c>
      <c r="L575" s="2" t="s">
        <v>674</v>
      </c>
      <c r="N575" s="2">
        <f t="shared" ca="1" si="24"/>
        <v>1</v>
      </c>
      <c r="O575" s="6">
        <f t="shared" ca="1" si="25"/>
        <v>45456</v>
      </c>
      <c r="P575" s="2">
        <f t="shared" ca="1" si="26"/>
        <v>1</v>
      </c>
    </row>
    <row r="576" spans="1:16" x14ac:dyDescent="0.35">
      <c r="A576" s="2" t="s">
        <v>32</v>
      </c>
      <c r="B576" s="2">
        <v>2889334</v>
      </c>
      <c r="C576" s="2" t="s">
        <v>33</v>
      </c>
      <c r="D576" s="2" t="s">
        <v>21</v>
      </c>
      <c r="E576" s="2" t="s">
        <v>22</v>
      </c>
      <c r="F576" s="6" t="s">
        <v>124</v>
      </c>
      <c r="G576" s="6">
        <v>45632</v>
      </c>
      <c r="I576" s="2" t="s">
        <v>264</v>
      </c>
      <c r="L576" s="2" t="s">
        <v>305</v>
      </c>
      <c r="N576" s="2">
        <f t="shared" ca="1" si="24"/>
        <v>127</v>
      </c>
      <c r="O576" s="6">
        <f t="shared" ca="1" si="25"/>
        <v>45456</v>
      </c>
      <c r="P576" s="2">
        <f t="shared" ca="1" si="26"/>
        <v>1</v>
      </c>
    </row>
    <row r="577" spans="1:16" x14ac:dyDescent="0.35">
      <c r="A577" s="2" t="s">
        <v>32</v>
      </c>
      <c r="B577" s="2">
        <v>2889386</v>
      </c>
      <c r="C577" s="2" t="s">
        <v>33</v>
      </c>
      <c r="D577" s="2" t="s">
        <v>21</v>
      </c>
      <c r="E577" s="2" t="s">
        <v>22</v>
      </c>
      <c r="F577" s="6" t="s">
        <v>124</v>
      </c>
      <c r="G577" s="6">
        <v>45632</v>
      </c>
      <c r="I577" s="2" t="s">
        <v>264</v>
      </c>
      <c r="L577" s="2" t="s">
        <v>486</v>
      </c>
      <c r="N577" s="2">
        <f t="shared" ca="1" si="24"/>
        <v>127</v>
      </c>
      <c r="O577" s="6">
        <f t="shared" ca="1" si="25"/>
        <v>45456</v>
      </c>
      <c r="P577" s="2">
        <f t="shared" ca="1" si="26"/>
        <v>1</v>
      </c>
    </row>
    <row r="578" spans="1:16" x14ac:dyDescent="0.35">
      <c r="A578" s="2" t="s">
        <v>32</v>
      </c>
      <c r="B578" s="2">
        <v>2889470</v>
      </c>
      <c r="C578" s="2" t="s">
        <v>33</v>
      </c>
      <c r="D578" s="2" t="s">
        <v>21</v>
      </c>
      <c r="E578" s="2" t="s">
        <v>22</v>
      </c>
      <c r="F578" s="6" t="s">
        <v>124</v>
      </c>
      <c r="G578" s="6" t="s">
        <v>141</v>
      </c>
      <c r="I578" s="2" t="s">
        <v>264</v>
      </c>
      <c r="L578" s="2" t="s">
        <v>708</v>
      </c>
      <c r="N578" s="2">
        <f t="shared" ca="1" si="24"/>
        <v>1</v>
      </c>
      <c r="O578" s="6">
        <f t="shared" ca="1" si="25"/>
        <v>45456</v>
      </c>
      <c r="P578" s="2">
        <f t="shared" ca="1" si="26"/>
        <v>1</v>
      </c>
    </row>
    <row r="579" spans="1:16" x14ac:dyDescent="0.35">
      <c r="A579" s="2" t="s">
        <v>32</v>
      </c>
      <c r="B579" s="2">
        <v>2889831</v>
      </c>
      <c r="C579" s="2" t="s">
        <v>33</v>
      </c>
      <c r="D579" s="2" t="s">
        <v>21</v>
      </c>
      <c r="E579" s="2" t="s">
        <v>22</v>
      </c>
      <c r="F579" s="6" t="s">
        <v>124</v>
      </c>
      <c r="G579" s="6">
        <v>45632</v>
      </c>
      <c r="I579" s="2" t="s">
        <v>264</v>
      </c>
      <c r="L579" s="2" t="s">
        <v>306</v>
      </c>
      <c r="N579" s="2">
        <f t="shared" ref="N579:N642" ca="1" si="27">IF(G579 &lt; TODAY(), -NETWORKDAYS(G579, TODAY()), NETWORKDAYS(TODAY(), G579))</f>
        <v>127</v>
      </c>
      <c r="O579" s="6">
        <f t="shared" ref="O579:O642" ca="1" si="28">TODAY()</f>
        <v>45456</v>
      </c>
      <c r="P579" s="2">
        <f t="shared" ref="P579:P642" ca="1" si="29">NETWORKDAYS(O579,TODAY())</f>
        <v>1</v>
      </c>
    </row>
    <row r="580" spans="1:16" x14ac:dyDescent="0.35">
      <c r="A580" s="2" t="s">
        <v>32</v>
      </c>
      <c r="B580" s="2">
        <v>2889902</v>
      </c>
      <c r="C580" s="2" t="s">
        <v>33</v>
      </c>
      <c r="D580" s="2" t="s">
        <v>21</v>
      </c>
      <c r="E580" s="2" t="s">
        <v>22</v>
      </c>
      <c r="F580" s="6" t="s">
        <v>124</v>
      </c>
      <c r="G580" s="6" t="s">
        <v>141</v>
      </c>
      <c r="I580" s="2" t="s">
        <v>264</v>
      </c>
      <c r="L580" s="2" t="s">
        <v>668</v>
      </c>
      <c r="N580" s="2">
        <f t="shared" ca="1" si="27"/>
        <v>1</v>
      </c>
      <c r="O580" s="6">
        <f t="shared" ca="1" si="28"/>
        <v>45456</v>
      </c>
      <c r="P580" s="2">
        <f t="shared" ca="1" si="29"/>
        <v>1</v>
      </c>
    </row>
    <row r="581" spans="1:16" x14ac:dyDescent="0.35">
      <c r="A581" s="2" t="s">
        <v>32</v>
      </c>
      <c r="B581" s="2">
        <v>2890166</v>
      </c>
      <c r="C581" s="2" t="s">
        <v>33</v>
      </c>
      <c r="D581" s="2" t="s">
        <v>21</v>
      </c>
      <c r="E581" s="2" t="s">
        <v>22</v>
      </c>
      <c r="F581" s="6" t="s">
        <v>124</v>
      </c>
      <c r="G581" s="6">
        <v>45632</v>
      </c>
      <c r="I581" s="2" t="s">
        <v>264</v>
      </c>
      <c r="L581" s="2" t="s">
        <v>487</v>
      </c>
      <c r="N581" s="2">
        <f t="shared" ca="1" si="27"/>
        <v>127</v>
      </c>
      <c r="O581" s="6">
        <f t="shared" ca="1" si="28"/>
        <v>45456</v>
      </c>
      <c r="P581" s="2">
        <f t="shared" ca="1" si="29"/>
        <v>1</v>
      </c>
    </row>
    <row r="582" spans="1:16" x14ac:dyDescent="0.35">
      <c r="A582" s="2" t="s">
        <v>32</v>
      </c>
      <c r="B582" s="2">
        <v>2890168</v>
      </c>
      <c r="C582" s="2" t="s">
        <v>33</v>
      </c>
      <c r="D582" s="2" t="s">
        <v>21</v>
      </c>
      <c r="E582" s="2" t="s">
        <v>22</v>
      </c>
      <c r="F582" s="6" t="s">
        <v>124</v>
      </c>
      <c r="G582" s="6">
        <v>45632</v>
      </c>
      <c r="I582" s="2" t="s">
        <v>264</v>
      </c>
      <c r="L582" s="2" t="s">
        <v>488</v>
      </c>
      <c r="N582" s="2">
        <f t="shared" ca="1" si="27"/>
        <v>127</v>
      </c>
      <c r="O582" s="6">
        <f t="shared" ca="1" si="28"/>
        <v>45456</v>
      </c>
      <c r="P582" s="2">
        <f t="shared" ca="1" si="29"/>
        <v>1</v>
      </c>
    </row>
    <row r="583" spans="1:16" x14ac:dyDescent="0.35">
      <c r="A583" s="2" t="s">
        <v>32</v>
      </c>
      <c r="B583" s="2">
        <v>2890176</v>
      </c>
      <c r="C583" s="2" t="s">
        <v>33</v>
      </c>
      <c r="D583" s="2" t="s">
        <v>21</v>
      </c>
      <c r="E583" s="2" t="s">
        <v>22</v>
      </c>
      <c r="F583" s="6" t="s">
        <v>124</v>
      </c>
      <c r="G583" s="6" t="s">
        <v>141</v>
      </c>
      <c r="I583" s="2" t="s">
        <v>264</v>
      </c>
      <c r="L583" s="2" t="s">
        <v>709</v>
      </c>
      <c r="N583" s="2">
        <f t="shared" ca="1" si="27"/>
        <v>1</v>
      </c>
      <c r="O583" s="6">
        <f t="shared" ca="1" si="28"/>
        <v>45456</v>
      </c>
      <c r="P583" s="2">
        <f t="shared" ca="1" si="29"/>
        <v>1</v>
      </c>
    </row>
    <row r="584" spans="1:16" x14ac:dyDescent="0.35">
      <c r="A584" s="2" t="s">
        <v>32</v>
      </c>
      <c r="B584" s="2">
        <v>2890195</v>
      </c>
      <c r="C584" s="2" t="s">
        <v>33</v>
      </c>
      <c r="D584" s="2" t="s">
        <v>21</v>
      </c>
      <c r="E584" s="2" t="s">
        <v>22</v>
      </c>
      <c r="F584" s="6" t="s">
        <v>124</v>
      </c>
      <c r="G584" s="6" t="s">
        <v>141</v>
      </c>
      <c r="I584" s="2" t="s">
        <v>264</v>
      </c>
      <c r="L584" s="2" t="s">
        <v>710</v>
      </c>
      <c r="N584" s="2">
        <f t="shared" ca="1" si="27"/>
        <v>1</v>
      </c>
      <c r="O584" s="6">
        <f t="shared" ca="1" si="28"/>
        <v>45456</v>
      </c>
      <c r="P584" s="2">
        <f t="shared" ca="1" si="29"/>
        <v>1</v>
      </c>
    </row>
    <row r="585" spans="1:16" x14ac:dyDescent="0.35">
      <c r="A585" s="2" t="s">
        <v>32</v>
      </c>
      <c r="B585" s="2">
        <v>2890199</v>
      </c>
      <c r="C585" s="2" t="s">
        <v>33</v>
      </c>
      <c r="D585" s="2" t="s">
        <v>21</v>
      </c>
      <c r="E585" s="2" t="s">
        <v>22</v>
      </c>
      <c r="F585" s="6" t="s">
        <v>124</v>
      </c>
      <c r="G585" s="6" t="s">
        <v>141</v>
      </c>
      <c r="I585" s="2" t="s">
        <v>264</v>
      </c>
      <c r="L585" s="2" t="s">
        <v>269</v>
      </c>
      <c r="N585" s="2">
        <f t="shared" ca="1" si="27"/>
        <v>1</v>
      </c>
      <c r="O585" s="6">
        <f t="shared" ca="1" si="28"/>
        <v>45456</v>
      </c>
      <c r="P585" s="2">
        <f t="shared" ca="1" si="29"/>
        <v>1</v>
      </c>
    </row>
    <row r="586" spans="1:16" x14ac:dyDescent="0.35">
      <c r="A586" s="2" t="s">
        <v>32</v>
      </c>
      <c r="B586" s="2">
        <v>2890204</v>
      </c>
      <c r="C586" s="2" t="s">
        <v>33</v>
      </c>
      <c r="D586" s="2" t="s">
        <v>21</v>
      </c>
      <c r="E586" s="2" t="s">
        <v>22</v>
      </c>
      <c r="F586" s="6" t="s">
        <v>74</v>
      </c>
      <c r="G586" s="6" t="s">
        <v>141</v>
      </c>
      <c r="I586" s="2" t="s">
        <v>264</v>
      </c>
      <c r="L586" s="2" t="s">
        <v>489</v>
      </c>
      <c r="N586" s="2">
        <f t="shared" ca="1" si="27"/>
        <v>1</v>
      </c>
      <c r="O586" s="6">
        <f t="shared" ca="1" si="28"/>
        <v>45456</v>
      </c>
      <c r="P586" s="2">
        <f t="shared" ca="1" si="29"/>
        <v>1</v>
      </c>
    </row>
    <row r="587" spans="1:16" x14ac:dyDescent="0.35">
      <c r="A587" s="2" t="s">
        <v>32</v>
      </c>
      <c r="B587" s="2">
        <v>2890214</v>
      </c>
      <c r="C587" s="2" t="s">
        <v>33</v>
      </c>
      <c r="D587" s="2" t="s">
        <v>21</v>
      </c>
      <c r="E587" s="2" t="s">
        <v>22</v>
      </c>
      <c r="F587" s="6" t="s">
        <v>74</v>
      </c>
      <c r="G587" s="6" t="s">
        <v>141</v>
      </c>
      <c r="I587" s="2" t="s">
        <v>264</v>
      </c>
      <c r="L587" s="2" t="s">
        <v>490</v>
      </c>
      <c r="N587" s="2">
        <f t="shared" ca="1" si="27"/>
        <v>1</v>
      </c>
      <c r="O587" s="6">
        <f t="shared" ca="1" si="28"/>
        <v>45456</v>
      </c>
      <c r="P587" s="2">
        <f t="shared" ca="1" si="29"/>
        <v>1</v>
      </c>
    </row>
    <row r="588" spans="1:16" x14ac:dyDescent="0.35">
      <c r="A588" s="2" t="s">
        <v>32</v>
      </c>
      <c r="B588" s="2">
        <v>2890216</v>
      </c>
      <c r="C588" s="2" t="s">
        <v>33</v>
      </c>
      <c r="D588" s="2" t="s">
        <v>21</v>
      </c>
      <c r="E588" s="2" t="s">
        <v>22</v>
      </c>
      <c r="F588" s="6" t="s">
        <v>74</v>
      </c>
      <c r="G588" s="6" t="s">
        <v>141</v>
      </c>
      <c r="I588" s="2" t="s">
        <v>264</v>
      </c>
      <c r="L588" s="2" t="s">
        <v>491</v>
      </c>
      <c r="N588" s="2">
        <f t="shared" ca="1" si="27"/>
        <v>1</v>
      </c>
      <c r="O588" s="6">
        <f t="shared" ca="1" si="28"/>
        <v>45456</v>
      </c>
      <c r="P588" s="2">
        <f t="shared" ca="1" si="29"/>
        <v>1</v>
      </c>
    </row>
    <row r="589" spans="1:16" x14ac:dyDescent="0.35">
      <c r="A589" s="2" t="s">
        <v>32</v>
      </c>
      <c r="B589" s="2">
        <v>2890220</v>
      </c>
      <c r="C589" s="2" t="s">
        <v>33</v>
      </c>
      <c r="D589" s="2" t="s">
        <v>21</v>
      </c>
      <c r="E589" s="2" t="s">
        <v>22</v>
      </c>
      <c r="F589" s="6" t="s">
        <v>74</v>
      </c>
      <c r="G589" s="6" t="s">
        <v>141</v>
      </c>
      <c r="I589" s="2" t="s">
        <v>264</v>
      </c>
      <c r="L589" s="2" t="s">
        <v>711</v>
      </c>
      <c r="N589" s="2">
        <f t="shared" ca="1" si="27"/>
        <v>1</v>
      </c>
      <c r="O589" s="6">
        <f t="shared" ca="1" si="28"/>
        <v>45456</v>
      </c>
      <c r="P589" s="2">
        <f t="shared" ca="1" si="29"/>
        <v>1</v>
      </c>
    </row>
    <row r="590" spans="1:16" x14ac:dyDescent="0.35">
      <c r="A590" s="2" t="s">
        <v>32</v>
      </c>
      <c r="B590" s="2">
        <v>2890221</v>
      </c>
      <c r="C590" s="2" t="s">
        <v>33</v>
      </c>
      <c r="D590" s="2" t="s">
        <v>21</v>
      </c>
      <c r="E590" s="2" t="s">
        <v>22</v>
      </c>
      <c r="F590" s="6" t="s">
        <v>74</v>
      </c>
      <c r="G590" s="6">
        <v>45632</v>
      </c>
      <c r="I590" s="2" t="s">
        <v>264</v>
      </c>
      <c r="L590" s="2" t="s">
        <v>492</v>
      </c>
      <c r="N590" s="2">
        <f t="shared" ca="1" si="27"/>
        <v>127</v>
      </c>
      <c r="O590" s="6">
        <f t="shared" ca="1" si="28"/>
        <v>45456</v>
      </c>
      <c r="P590" s="2">
        <f t="shared" ca="1" si="29"/>
        <v>1</v>
      </c>
    </row>
    <row r="591" spans="1:16" x14ac:dyDescent="0.35">
      <c r="A591" s="2" t="s">
        <v>32</v>
      </c>
      <c r="B591" s="2">
        <v>2890222</v>
      </c>
      <c r="C591" s="2" t="s">
        <v>33</v>
      </c>
      <c r="D591" s="2" t="s">
        <v>21</v>
      </c>
      <c r="E591" s="2" t="s">
        <v>22</v>
      </c>
      <c r="F591" s="6" t="s">
        <v>74</v>
      </c>
      <c r="G591" s="6">
        <v>45632</v>
      </c>
      <c r="I591" s="2" t="s">
        <v>264</v>
      </c>
      <c r="L591" s="2" t="s">
        <v>283</v>
      </c>
      <c r="N591" s="2">
        <f t="shared" ca="1" si="27"/>
        <v>127</v>
      </c>
      <c r="O591" s="6">
        <f t="shared" ca="1" si="28"/>
        <v>45456</v>
      </c>
      <c r="P591" s="2">
        <f t="shared" ca="1" si="29"/>
        <v>1</v>
      </c>
    </row>
    <row r="592" spans="1:16" x14ac:dyDescent="0.35">
      <c r="A592" s="2" t="s">
        <v>32</v>
      </c>
      <c r="B592" s="2">
        <v>2890224</v>
      </c>
      <c r="C592" s="2" t="s">
        <v>33</v>
      </c>
      <c r="D592" s="2" t="s">
        <v>21</v>
      </c>
      <c r="E592" s="2" t="s">
        <v>22</v>
      </c>
      <c r="F592" s="6" t="s">
        <v>74</v>
      </c>
      <c r="G592" s="6" t="s">
        <v>141</v>
      </c>
      <c r="I592" s="2" t="s">
        <v>264</v>
      </c>
      <c r="L592" s="2" t="s">
        <v>710</v>
      </c>
      <c r="N592" s="2">
        <f t="shared" ca="1" si="27"/>
        <v>1</v>
      </c>
      <c r="O592" s="6">
        <f t="shared" ca="1" si="28"/>
        <v>45456</v>
      </c>
      <c r="P592" s="2">
        <f t="shared" ca="1" si="29"/>
        <v>1</v>
      </c>
    </row>
    <row r="593" spans="1:16" x14ac:dyDescent="0.35">
      <c r="A593" s="2" t="s">
        <v>32</v>
      </c>
      <c r="B593" s="2">
        <v>2890227</v>
      </c>
      <c r="C593" s="2" t="s">
        <v>33</v>
      </c>
      <c r="D593" s="2" t="s">
        <v>21</v>
      </c>
      <c r="E593" s="2" t="s">
        <v>22</v>
      </c>
      <c r="F593" s="6" t="s">
        <v>74</v>
      </c>
      <c r="G593" s="6" t="s">
        <v>141</v>
      </c>
      <c r="I593" s="2" t="s">
        <v>264</v>
      </c>
      <c r="L593" s="2" t="s">
        <v>712</v>
      </c>
      <c r="N593" s="2">
        <f t="shared" ca="1" si="27"/>
        <v>1</v>
      </c>
      <c r="O593" s="6">
        <f t="shared" ca="1" si="28"/>
        <v>45456</v>
      </c>
      <c r="P593" s="2">
        <f t="shared" ca="1" si="29"/>
        <v>1</v>
      </c>
    </row>
    <row r="594" spans="1:16" x14ac:dyDescent="0.35">
      <c r="A594" s="2" t="s">
        <v>32</v>
      </c>
      <c r="B594" s="2">
        <v>2890231</v>
      </c>
      <c r="C594" s="2" t="s">
        <v>33</v>
      </c>
      <c r="D594" s="2" t="s">
        <v>21</v>
      </c>
      <c r="E594" s="2" t="s">
        <v>22</v>
      </c>
      <c r="F594" s="6" t="s">
        <v>74</v>
      </c>
      <c r="G594" s="6" t="s">
        <v>141</v>
      </c>
      <c r="I594" s="2" t="s">
        <v>264</v>
      </c>
      <c r="L594" s="2" t="s">
        <v>713</v>
      </c>
      <c r="N594" s="2">
        <f t="shared" ca="1" si="27"/>
        <v>1</v>
      </c>
      <c r="O594" s="6">
        <f t="shared" ca="1" si="28"/>
        <v>45456</v>
      </c>
      <c r="P594" s="2">
        <f t="shared" ca="1" si="29"/>
        <v>1</v>
      </c>
    </row>
    <row r="595" spans="1:16" x14ac:dyDescent="0.35">
      <c r="A595" s="2" t="s">
        <v>32</v>
      </c>
      <c r="B595" s="2">
        <v>2890232</v>
      </c>
      <c r="C595" s="2" t="s">
        <v>33</v>
      </c>
      <c r="D595" s="2" t="s">
        <v>21</v>
      </c>
      <c r="E595" s="2" t="s">
        <v>22</v>
      </c>
      <c r="F595" s="6" t="s">
        <v>74</v>
      </c>
      <c r="G595" s="6">
        <v>45632</v>
      </c>
      <c r="I595" s="2" t="s">
        <v>264</v>
      </c>
      <c r="L595" s="2" t="s">
        <v>308</v>
      </c>
      <c r="N595" s="2">
        <f t="shared" ca="1" si="27"/>
        <v>127</v>
      </c>
      <c r="O595" s="6">
        <f t="shared" ca="1" si="28"/>
        <v>45456</v>
      </c>
      <c r="P595" s="2">
        <f t="shared" ca="1" si="29"/>
        <v>1</v>
      </c>
    </row>
    <row r="596" spans="1:16" x14ac:dyDescent="0.35">
      <c r="A596" s="2" t="s">
        <v>32</v>
      </c>
      <c r="B596" s="2">
        <v>2890235</v>
      </c>
      <c r="C596" s="2" t="s">
        <v>33</v>
      </c>
      <c r="D596" s="2" t="s">
        <v>21</v>
      </c>
      <c r="E596" s="2" t="s">
        <v>22</v>
      </c>
      <c r="F596" s="6" t="s">
        <v>74</v>
      </c>
      <c r="G596" s="6">
        <v>45632</v>
      </c>
      <c r="I596" s="2" t="s">
        <v>264</v>
      </c>
      <c r="L596" s="2" t="s">
        <v>493</v>
      </c>
      <c r="N596" s="2">
        <f t="shared" ca="1" si="27"/>
        <v>127</v>
      </c>
      <c r="O596" s="6">
        <f t="shared" ca="1" si="28"/>
        <v>45456</v>
      </c>
      <c r="P596" s="2">
        <f t="shared" ca="1" si="29"/>
        <v>1</v>
      </c>
    </row>
    <row r="597" spans="1:16" x14ac:dyDescent="0.35">
      <c r="A597" s="2" t="s">
        <v>32</v>
      </c>
      <c r="B597" s="2">
        <v>2890236</v>
      </c>
      <c r="C597" s="2" t="s">
        <v>33</v>
      </c>
      <c r="D597" s="2" t="s">
        <v>21</v>
      </c>
      <c r="E597" s="2" t="s">
        <v>22</v>
      </c>
      <c r="F597" s="6" t="s">
        <v>74</v>
      </c>
      <c r="G597" s="6" t="s">
        <v>141</v>
      </c>
      <c r="I597" s="2" t="s">
        <v>264</v>
      </c>
      <c r="L597" s="2" t="s">
        <v>495</v>
      </c>
      <c r="N597" s="2">
        <f t="shared" ca="1" si="27"/>
        <v>1</v>
      </c>
      <c r="O597" s="6">
        <f t="shared" ca="1" si="28"/>
        <v>45456</v>
      </c>
      <c r="P597" s="2">
        <f t="shared" ca="1" si="29"/>
        <v>1</v>
      </c>
    </row>
    <row r="598" spans="1:16" x14ac:dyDescent="0.35">
      <c r="A598" s="2" t="s">
        <v>32</v>
      </c>
      <c r="B598" s="2">
        <v>2890238</v>
      </c>
      <c r="C598" s="2" t="s">
        <v>33</v>
      </c>
      <c r="D598" s="2" t="s">
        <v>21</v>
      </c>
      <c r="E598" s="2" t="s">
        <v>22</v>
      </c>
      <c r="F598" s="6" t="s">
        <v>74</v>
      </c>
      <c r="G598" s="6" t="s">
        <v>141</v>
      </c>
      <c r="I598" s="2" t="s">
        <v>264</v>
      </c>
      <c r="L598" s="2" t="s">
        <v>713</v>
      </c>
      <c r="N598" s="2">
        <f t="shared" ca="1" si="27"/>
        <v>1</v>
      </c>
      <c r="O598" s="6">
        <f t="shared" ca="1" si="28"/>
        <v>45456</v>
      </c>
      <c r="P598" s="2">
        <f t="shared" ca="1" si="29"/>
        <v>1</v>
      </c>
    </row>
    <row r="599" spans="1:16" x14ac:dyDescent="0.35">
      <c r="A599" s="2" t="s">
        <v>32</v>
      </c>
      <c r="B599" s="2">
        <v>2890239</v>
      </c>
      <c r="C599" s="2" t="s">
        <v>33</v>
      </c>
      <c r="D599" s="2" t="s">
        <v>21</v>
      </c>
      <c r="E599" s="2" t="s">
        <v>22</v>
      </c>
      <c r="F599" s="6" t="s">
        <v>74</v>
      </c>
      <c r="G599" s="6">
        <v>45632</v>
      </c>
      <c r="I599" s="2" t="s">
        <v>264</v>
      </c>
      <c r="L599" s="2" t="s">
        <v>493</v>
      </c>
      <c r="N599" s="2">
        <f t="shared" ca="1" si="27"/>
        <v>127</v>
      </c>
      <c r="O599" s="6">
        <f t="shared" ca="1" si="28"/>
        <v>45456</v>
      </c>
      <c r="P599" s="2">
        <f t="shared" ca="1" si="29"/>
        <v>1</v>
      </c>
    </row>
    <row r="600" spans="1:16" x14ac:dyDescent="0.35">
      <c r="A600" s="2" t="s">
        <v>32</v>
      </c>
      <c r="B600" s="2">
        <v>2890241</v>
      </c>
      <c r="C600" s="2" t="s">
        <v>33</v>
      </c>
      <c r="D600" s="2" t="s">
        <v>21</v>
      </c>
      <c r="E600" s="2" t="s">
        <v>22</v>
      </c>
      <c r="F600" s="6" t="s">
        <v>74</v>
      </c>
      <c r="G600" s="6" t="s">
        <v>141</v>
      </c>
      <c r="I600" s="2" t="s">
        <v>264</v>
      </c>
      <c r="L600" s="2" t="s">
        <v>491</v>
      </c>
      <c r="N600" s="2">
        <f t="shared" ca="1" si="27"/>
        <v>1</v>
      </c>
      <c r="O600" s="6">
        <f t="shared" ca="1" si="28"/>
        <v>45456</v>
      </c>
      <c r="P600" s="2">
        <f t="shared" ca="1" si="29"/>
        <v>1</v>
      </c>
    </row>
    <row r="601" spans="1:16" x14ac:dyDescent="0.35">
      <c r="A601" s="2" t="s">
        <v>32</v>
      </c>
      <c r="B601" s="2">
        <v>2890243</v>
      </c>
      <c r="C601" s="2" t="s">
        <v>33</v>
      </c>
      <c r="D601" s="2" t="s">
        <v>21</v>
      </c>
      <c r="E601" s="2" t="s">
        <v>22</v>
      </c>
      <c r="F601" s="6" t="s">
        <v>74</v>
      </c>
      <c r="G601" s="6" t="s">
        <v>141</v>
      </c>
      <c r="I601" s="2" t="s">
        <v>264</v>
      </c>
      <c r="L601" s="2" t="s">
        <v>710</v>
      </c>
      <c r="N601" s="2">
        <f t="shared" ca="1" si="27"/>
        <v>1</v>
      </c>
      <c r="O601" s="6">
        <f t="shared" ca="1" si="28"/>
        <v>45456</v>
      </c>
      <c r="P601" s="2">
        <f t="shared" ca="1" si="29"/>
        <v>1</v>
      </c>
    </row>
    <row r="602" spans="1:16" x14ac:dyDescent="0.35">
      <c r="A602" s="2" t="s">
        <v>32</v>
      </c>
      <c r="B602" s="2">
        <v>2890244</v>
      </c>
      <c r="C602" s="2" t="s">
        <v>33</v>
      </c>
      <c r="D602" s="2" t="s">
        <v>21</v>
      </c>
      <c r="E602" s="2" t="s">
        <v>22</v>
      </c>
      <c r="F602" s="6" t="s">
        <v>74</v>
      </c>
      <c r="G602" s="6" t="s">
        <v>141</v>
      </c>
      <c r="I602" s="2" t="s">
        <v>264</v>
      </c>
      <c r="L602" s="2" t="s">
        <v>713</v>
      </c>
      <c r="N602" s="2">
        <f t="shared" ca="1" si="27"/>
        <v>1</v>
      </c>
      <c r="O602" s="6">
        <f t="shared" ca="1" si="28"/>
        <v>45456</v>
      </c>
      <c r="P602" s="2">
        <f t="shared" ca="1" si="29"/>
        <v>1</v>
      </c>
    </row>
    <row r="603" spans="1:16" x14ac:dyDescent="0.35">
      <c r="A603" s="2" t="s">
        <v>32</v>
      </c>
      <c r="B603" s="2">
        <v>2890245</v>
      </c>
      <c r="C603" s="2" t="s">
        <v>33</v>
      </c>
      <c r="D603" s="2" t="s">
        <v>21</v>
      </c>
      <c r="E603" s="2" t="s">
        <v>22</v>
      </c>
      <c r="F603" s="6" t="s">
        <v>74</v>
      </c>
      <c r="G603" s="6" t="s">
        <v>141</v>
      </c>
      <c r="I603" s="2" t="s">
        <v>264</v>
      </c>
      <c r="L603" s="2" t="s">
        <v>711</v>
      </c>
      <c r="N603" s="2">
        <f t="shared" ca="1" si="27"/>
        <v>1</v>
      </c>
      <c r="O603" s="6">
        <f t="shared" ca="1" si="28"/>
        <v>45456</v>
      </c>
      <c r="P603" s="2">
        <f t="shared" ca="1" si="29"/>
        <v>1</v>
      </c>
    </row>
    <row r="604" spans="1:16" x14ac:dyDescent="0.35">
      <c r="A604" s="2" t="s">
        <v>32</v>
      </c>
      <c r="B604" s="2">
        <v>2890250</v>
      </c>
      <c r="C604" s="2" t="s">
        <v>33</v>
      </c>
      <c r="D604" s="2" t="s">
        <v>21</v>
      </c>
      <c r="E604" s="2" t="s">
        <v>22</v>
      </c>
      <c r="F604" s="6" t="s">
        <v>74</v>
      </c>
      <c r="G604" s="6" t="s">
        <v>141</v>
      </c>
      <c r="I604" s="2" t="s">
        <v>264</v>
      </c>
      <c r="L604" s="2" t="s">
        <v>490</v>
      </c>
      <c r="N604" s="2">
        <f t="shared" ca="1" si="27"/>
        <v>1</v>
      </c>
      <c r="O604" s="6">
        <f t="shared" ca="1" si="28"/>
        <v>45456</v>
      </c>
      <c r="P604" s="2">
        <f t="shared" ca="1" si="29"/>
        <v>1</v>
      </c>
    </row>
    <row r="605" spans="1:16" x14ac:dyDescent="0.35">
      <c r="A605" s="2" t="s">
        <v>32</v>
      </c>
      <c r="B605" s="2">
        <v>2890251</v>
      </c>
      <c r="C605" s="2" t="s">
        <v>33</v>
      </c>
      <c r="D605" s="2" t="s">
        <v>21</v>
      </c>
      <c r="E605" s="2" t="s">
        <v>22</v>
      </c>
      <c r="F605" s="6" t="s">
        <v>74</v>
      </c>
      <c r="G605" s="6">
        <v>45632</v>
      </c>
      <c r="I605" s="2" t="s">
        <v>264</v>
      </c>
      <c r="L605" s="2" t="s">
        <v>308</v>
      </c>
      <c r="N605" s="2">
        <f t="shared" ca="1" si="27"/>
        <v>127</v>
      </c>
      <c r="O605" s="6">
        <f t="shared" ca="1" si="28"/>
        <v>45456</v>
      </c>
      <c r="P605" s="2">
        <f t="shared" ca="1" si="29"/>
        <v>1</v>
      </c>
    </row>
    <row r="606" spans="1:16" x14ac:dyDescent="0.35">
      <c r="A606" s="2" t="s">
        <v>32</v>
      </c>
      <c r="B606" s="2">
        <v>2890252</v>
      </c>
      <c r="C606" s="2" t="s">
        <v>33</v>
      </c>
      <c r="D606" s="2" t="s">
        <v>21</v>
      </c>
      <c r="E606" s="2" t="s">
        <v>22</v>
      </c>
      <c r="F606" s="6" t="s">
        <v>74</v>
      </c>
      <c r="G606" s="6" t="s">
        <v>141</v>
      </c>
      <c r="I606" s="2" t="s">
        <v>264</v>
      </c>
      <c r="L606" s="2" t="s">
        <v>712</v>
      </c>
      <c r="N606" s="2">
        <f t="shared" ca="1" si="27"/>
        <v>1</v>
      </c>
      <c r="O606" s="6">
        <f t="shared" ca="1" si="28"/>
        <v>45456</v>
      </c>
      <c r="P606" s="2">
        <f t="shared" ca="1" si="29"/>
        <v>1</v>
      </c>
    </row>
    <row r="607" spans="1:16" x14ac:dyDescent="0.35">
      <c r="A607" s="2" t="s">
        <v>32</v>
      </c>
      <c r="B607" s="2">
        <v>2890254</v>
      </c>
      <c r="C607" s="2" t="s">
        <v>33</v>
      </c>
      <c r="D607" s="2" t="s">
        <v>21</v>
      </c>
      <c r="E607" s="2" t="s">
        <v>22</v>
      </c>
      <c r="F607" s="6" t="s">
        <v>74</v>
      </c>
      <c r="G607" s="6">
        <v>45632</v>
      </c>
      <c r="I607" s="2" t="s">
        <v>264</v>
      </c>
      <c r="L607" s="2" t="s">
        <v>283</v>
      </c>
      <c r="N607" s="2">
        <f t="shared" ca="1" si="27"/>
        <v>127</v>
      </c>
      <c r="O607" s="6">
        <f t="shared" ca="1" si="28"/>
        <v>45456</v>
      </c>
      <c r="P607" s="2">
        <f t="shared" ca="1" si="29"/>
        <v>1</v>
      </c>
    </row>
    <row r="608" spans="1:16" x14ac:dyDescent="0.35">
      <c r="A608" s="2" t="s">
        <v>32</v>
      </c>
      <c r="B608" s="2">
        <v>2890255</v>
      </c>
      <c r="C608" s="2" t="s">
        <v>33</v>
      </c>
      <c r="D608" s="2" t="s">
        <v>21</v>
      </c>
      <c r="E608" s="2" t="s">
        <v>22</v>
      </c>
      <c r="F608" s="6" t="s">
        <v>74</v>
      </c>
      <c r="G608" s="6">
        <v>45632</v>
      </c>
      <c r="I608" s="2" t="s">
        <v>264</v>
      </c>
      <c r="L608" s="2" t="s">
        <v>494</v>
      </c>
      <c r="N608" s="2">
        <f t="shared" ca="1" si="27"/>
        <v>127</v>
      </c>
      <c r="O608" s="6">
        <f t="shared" ca="1" si="28"/>
        <v>45456</v>
      </c>
      <c r="P608" s="2">
        <f t="shared" ca="1" si="29"/>
        <v>1</v>
      </c>
    </row>
    <row r="609" spans="1:16" x14ac:dyDescent="0.35">
      <c r="A609" s="2" t="s">
        <v>32</v>
      </c>
      <c r="B609" s="2">
        <v>2890263</v>
      </c>
      <c r="C609" s="2" t="s">
        <v>33</v>
      </c>
      <c r="D609" s="2" t="s">
        <v>21</v>
      </c>
      <c r="E609" s="2" t="s">
        <v>22</v>
      </c>
      <c r="F609" s="6" t="s">
        <v>74</v>
      </c>
      <c r="G609" s="6" t="s">
        <v>141</v>
      </c>
      <c r="I609" s="2" t="s">
        <v>264</v>
      </c>
      <c r="L609" s="2" t="s">
        <v>712</v>
      </c>
      <c r="N609" s="2">
        <f t="shared" ca="1" si="27"/>
        <v>1</v>
      </c>
      <c r="O609" s="6">
        <f t="shared" ca="1" si="28"/>
        <v>45456</v>
      </c>
      <c r="P609" s="2">
        <f t="shared" ca="1" si="29"/>
        <v>1</v>
      </c>
    </row>
    <row r="610" spans="1:16" x14ac:dyDescent="0.35">
      <c r="A610" s="2" t="s">
        <v>32</v>
      </c>
      <c r="B610" s="2">
        <v>2890264</v>
      </c>
      <c r="C610" s="2" t="s">
        <v>33</v>
      </c>
      <c r="D610" s="2" t="s">
        <v>21</v>
      </c>
      <c r="E610" s="2" t="s">
        <v>22</v>
      </c>
      <c r="F610" s="6" t="s">
        <v>74</v>
      </c>
      <c r="G610" s="6">
        <v>45632</v>
      </c>
      <c r="I610" s="2" t="s">
        <v>264</v>
      </c>
      <c r="L610" s="2" t="s">
        <v>493</v>
      </c>
      <c r="N610" s="2">
        <f t="shared" ca="1" si="27"/>
        <v>127</v>
      </c>
      <c r="O610" s="6">
        <f t="shared" ca="1" si="28"/>
        <v>45456</v>
      </c>
      <c r="P610" s="2">
        <f t="shared" ca="1" si="29"/>
        <v>1</v>
      </c>
    </row>
    <row r="611" spans="1:16" x14ac:dyDescent="0.35">
      <c r="A611" s="2" t="s">
        <v>32</v>
      </c>
      <c r="B611" s="2">
        <v>2890265</v>
      </c>
      <c r="C611" s="2" t="s">
        <v>33</v>
      </c>
      <c r="D611" s="2" t="s">
        <v>21</v>
      </c>
      <c r="E611" s="2" t="s">
        <v>22</v>
      </c>
      <c r="F611" s="6" t="s">
        <v>74</v>
      </c>
      <c r="G611" s="6" t="s">
        <v>141</v>
      </c>
      <c r="I611" s="2" t="s">
        <v>264</v>
      </c>
      <c r="L611" s="2" t="s">
        <v>307</v>
      </c>
      <c r="N611" s="2">
        <f t="shared" ca="1" si="27"/>
        <v>1</v>
      </c>
      <c r="O611" s="6">
        <f t="shared" ca="1" si="28"/>
        <v>45456</v>
      </c>
      <c r="P611" s="2">
        <f t="shared" ca="1" si="29"/>
        <v>1</v>
      </c>
    </row>
    <row r="612" spans="1:16" x14ac:dyDescent="0.35">
      <c r="A612" s="2" t="s">
        <v>32</v>
      </c>
      <c r="B612" s="2">
        <v>2890268</v>
      </c>
      <c r="C612" s="2" t="s">
        <v>33</v>
      </c>
      <c r="D612" s="2" t="s">
        <v>21</v>
      </c>
      <c r="E612" s="2" t="s">
        <v>22</v>
      </c>
      <c r="F612" s="6" t="s">
        <v>74</v>
      </c>
      <c r="G612" s="6" t="s">
        <v>141</v>
      </c>
      <c r="I612" s="2" t="s">
        <v>264</v>
      </c>
      <c r="L612" s="2" t="s">
        <v>491</v>
      </c>
      <c r="N612" s="2">
        <f t="shared" ca="1" si="27"/>
        <v>1</v>
      </c>
      <c r="O612" s="6">
        <f t="shared" ca="1" si="28"/>
        <v>45456</v>
      </c>
      <c r="P612" s="2">
        <f t="shared" ca="1" si="29"/>
        <v>1</v>
      </c>
    </row>
    <row r="613" spans="1:16" x14ac:dyDescent="0.35">
      <c r="A613" s="2" t="s">
        <v>32</v>
      </c>
      <c r="B613" s="2">
        <v>2890274</v>
      </c>
      <c r="C613" s="2" t="s">
        <v>33</v>
      </c>
      <c r="D613" s="2" t="s">
        <v>21</v>
      </c>
      <c r="E613" s="2" t="s">
        <v>22</v>
      </c>
      <c r="F613" s="6" t="s">
        <v>74</v>
      </c>
      <c r="G613" s="6" t="s">
        <v>141</v>
      </c>
      <c r="I613" s="2" t="s">
        <v>264</v>
      </c>
      <c r="L613" s="2" t="s">
        <v>489</v>
      </c>
      <c r="N613" s="2">
        <f t="shared" ca="1" si="27"/>
        <v>1</v>
      </c>
      <c r="O613" s="6">
        <f t="shared" ca="1" si="28"/>
        <v>45456</v>
      </c>
      <c r="P613" s="2">
        <f t="shared" ca="1" si="29"/>
        <v>1</v>
      </c>
    </row>
    <row r="614" spans="1:16" x14ac:dyDescent="0.35">
      <c r="A614" s="2" t="s">
        <v>32</v>
      </c>
      <c r="B614" s="2">
        <v>2890278</v>
      </c>
      <c r="C614" s="2" t="s">
        <v>33</v>
      </c>
      <c r="D614" s="2" t="s">
        <v>21</v>
      </c>
      <c r="E614" s="2" t="s">
        <v>22</v>
      </c>
      <c r="F614" s="6" t="s">
        <v>74</v>
      </c>
      <c r="G614" s="6" t="s">
        <v>141</v>
      </c>
      <c r="I614" s="2" t="s">
        <v>264</v>
      </c>
      <c r="L614" s="2" t="s">
        <v>710</v>
      </c>
      <c r="N614" s="2">
        <f t="shared" ca="1" si="27"/>
        <v>1</v>
      </c>
      <c r="O614" s="6">
        <f t="shared" ca="1" si="28"/>
        <v>45456</v>
      </c>
      <c r="P614" s="2">
        <f t="shared" ca="1" si="29"/>
        <v>1</v>
      </c>
    </row>
    <row r="615" spans="1:16" x14ac:dyDescent="0.35">
      <c r="A615" s="2" t="s">
        <v>32</v>
      </c>
      <c r="B615" s="2">
        <v>2890279</v>
      </c>
      <c r="C615" s="2" t="s">
        <v>33</v>
      </c>
      <c r="D615" s="2" t="s">
        <v>21</v>
      </c>
      <c r="E615" s="2" t="s">
        <v>22</v>
      </c>
      <c r="F615" s="6" t="s">
        <v>74</v>
      </c>
      <c r="G615" s="6">
        <v>45632</v>
      </c>
      <c r="I615" s="2" t="s">
        <v>264</v>
      </c>
      <c r="L615" s="2" t="s">
        <v>495</v>
      </c>
      <c r="N615" s="2">
        <f t="shared" ca="1" si="27"/>
        <v>127</v>
      </c>
      <c r="O615" s="6">
        <f t="shared" ca="1" si="28"/>
        <v>45456</v>
      </c>
      <c r="P615" s="2">
        <f t="shared" ca="1" si="29"/>
        <v>1</v>
      </c>
    </row>
    <row r="616" spans="1:16" x14ac:dyDescent="0.35">
      <c r="A616" s="2" t="s">
        <v>32</v>
      </c>
      <c r="B616" s="2">
        <v>2890715</v>
      </c>
      <c r="C616" s="2" t="s">
        <v>33</v>
      </c>
      <c r="D616" s="2" t="s">
        <v>21</v>
      </c>
      <c r="E616" s="2" t="s">
        <v>22</v>
      </c>
      <c r="F616" s="6" t="s">
        <v>74</v>
      </c>
      <c r="G616" s="6" t="s">
        <v>141</v>
      </c>
      <c r="I616" s="2" t="s">
        <v>264</v>
      </c>
      <c r="L616" s="2" t="s">
        <v>714</v>
      </c>
      <c r="N616" s="2">
        <f t="shared" ca="1" si="27"/>
        <v>1</v>
      </c>
      <c r="O616" s="6">
        <f t="shared" ca="1" si="28"/>
        <v>45456</v>
      </c>
      <c r="P616" s="2">
        <f t="shared" ca="1" si="29"/>
        <v>1</v>
      </c>
    </row>
    <row r="617" spans="1:16" x14ac:dyDescent="0.35">
      <c r="A617" s="2" t="s">
        <v>32</v>
      </c>
      <c r="B617" s="2">
        <v>2890729</v>
      </c>
      <c r="C617" s="2" t="s">
        <v>33</v>
      </c>
      <c r="D617" s="2" t="s">
        <v>21</v>
      </c>
      <c r="E617" s="2" t="s">
        <v>22</v>
      </c>
      <c r="F617" s="6" t="s">
        <v>74</v>
      </c>
      <c r="G617" s="6" t="s">
        <v>141</v>
      </c>
      <c r="I617" s="2" t="s">
        <v>264</v>
      </c>
      <c r="L617" s="2" t="s">
        <v>496</v>
      </c>
      <c r="N617" s="2">
        <f t="shared" ca="1" si="27"/>
        <v>1</v>
      </c>
      <c r="O617" s="6">
        <f t="shared" ca="1" si="28"/>
        <v>45456</v>
      </c>
      <c r="P617" s="2">
        <f t="shared" ca="1" si="29"/>
        <v>1</v>
      </c>
    </row>
    <row r="618" spans="1:16" x14ac:dyDescent="0.35">
      <c r="A618" s="2" t="s">
        <v>32</v>
      </c>
      <c r="B618" s="2">
        <v>2890767</v>
      </c>
      <c r="C618" s="2" t="s">
        <v>33</v>
      </c>
      <c r="D618" s="2" t="s">
        <v>21</v>
      </c>
      <c r="E618" s="2" t="s">
        <v>22</v>
      </c>
      <c r="F618" s="6" t="s">
        <v>74</v>
      </c>
      <c r="G618" s="6" t="s">
        <v>141</v>
      </c>
      <c r="I618" s="2" t="s">
        <v>264</v>
      </c>
      <c r="L618" s="2" t="s">
        <v>715</v>
      </c>
      <c r="N618" s="2">
        <f t="shared" ca="1" si="27"/>
        <v>1</v>
      </c>
      <c r="O618" s="6">
        <f t="shared" ca="1" si="28"/>
        <v>45456</v>
      </c>
      <c r="P618" s="2">
        <f t="shared" ca="1" si="29"/>
        <v>1</v>
      </c>
    </row>
    <row r="619" spans="1:16" x14ac:dyDescent="0.35">
      <c r="A619" s="2" t="s">
        <v>32</v>
      </c>
      <c r="B619" s="2">
        <v>2890801</v>
      </c>
      <c r="C619" s="2" t="s">
        <v>33</v>
      </c>
      <c r="D619" s="2" t="s">
        <v>21</v>
      </c>
      <c r="E619" s="2" t="s">
        <v>22</v>
      </c>
      <c r="F619" s="6" t="s">
        <v>74</v>
      </c>
      <c r="G619" s="6">
        <v>45632</v>
      </c>
      <c r="I619" s="2" t="s">
        <v>264</v>
      </c>
      <c r="L619" s="2" t="s">
        <v>497</v>
      </c>
      <c r="N619" s="2">
        <f t="shared" ca="1" si="27"/>
        <v>127</v>
      </c>
      <c r="O619" s="6">
        <f t="shared" ca="1" si="28"/>
        <v>45456</v>
      </c>
      <c r="P619" s="2">
        <f t="shared" ca="1" si="29"/>
        <v>1</v>
      </c>
    </row>
    <row r="620" spans="1:16" x14ac:dyDescent="0.35">
      <c r="A620" s="2" t="s">
        <v>32</v>
      </c>
      <c r="B620" s="2">
        <v>2891025</v>
      </c>
      <c r="C620" s="2" t="s">
        <v>33</v>
      </c>
      <c r="D620" s="2" t="s">
        <v>21</v>
      </c>
      <c r="E620" s="2" t="s">
        <v>22</v>
      </c>
      <c r="F620" s="6" t="s">
        <v>74</v>
      </c>
      <c r="G620" s="6" t="s">
        <v>141</v>
      </c>
      <c r="I620" s="2" t="s">
        <v>264</v>
      </c>
      <c r="L620" s="2" t="s">
        <v>716</v>
      </c>
      <c r="N620" s="2">
        <f t="shared" ca="1" si="27"/>
        <v>1</v>
      </c>
      <c r="O620" s="6">
        <f t="shared" ca="1" si="28"/>
        <v>45456</v>
      </c>
      <c r="P620" s="2">
        <f t="shared" ca="1" si="29"/>
        <v>1</v>
      </c>
    </row>
    <row r="621" spans="1:16" x14ac:dyDescent="0.35">
      <c r="A621" s="2" t="s">
        <v>32</v>
      </c>
      <c r="B621" s="2">
        <v>2891347</v>
      </c>
      <c r="C621" s="2" t="s">
        <v>33</v>
      </c>
      <c r="D621" s="2" t="s">
        <v>21</v>
      </c>
      <c r="E621" s="2" t="s">
        <v>22</v>
      </c>
      <c r="F621" s="6" t="s">
        <v>74</v>
      </c>
      <c r="G621" s="6" t="s">
        <v>141</v>
      </c>
      <c r="I621" s="2" t="s">
        <v>264</v>
      </c>
      <c r="L621" s="2" t="s">
        <v>717</v>
      </c>
      <c r="N621" s="2">
        <f t="shared" ca="1" si="27"/>
        <v>1</v>
      </c>
      <c r="O621" s="6">
        <f t="shared" ca="1" si="28"/>
        <v>45456</v>
      </c>
      <c r="P621" s="2">
        <f t="shared" ca="1" si="29"/>
        <v>1</v>
      </c>
    </row>
    <row r="622" spans="1:16" x14ac:dyDescent="0.35">
      <c r="A622" s="2" t="s">
        <v>32</v>
      </c>
      <c r="B622" s="2">
        <v>2891534</v>
      </c>
      <c r="C622" s="2" t="s">
        <v>33</v>
      </c>
      <c r="D622" s="2" t="s">
        <v>21</v>
      </c>
      <c r="E622" s="2" t="s">
        <v>22</v>
      </c>
      <c r="F622" s="6" t="s">
        <v>74</v>
      </c>
      <c r="G622" s="6" t="s">
        <v>141</v>
      </c>
      <c r="I622" s="2" t="s">
        <v>264</v>
      </c>
      <c r="L622" s="2" t="s">
        <v>718</v>
      </c>
      <c r="N622" s="2">
        <f t="shared" ca="1" si="27"/>
        <v>1</v>
      </c>
      <c r="O622" s="6">
        <f t="shared" ca="1" si="28"/>
        <v>45456</v>
      </c>
      <c r="P622" s="2">
        <f t="shared" ca="1" si="29"/>
        <v>1</v>
      </c>
    </row>
    <row r="623" spans="1:16" x14ac:dyDescent="0.35">
      <c r="A623" s="2" t="s">
        <v>32</v>
      </c>
      <c r="B623" s="2">
        <v>2891563</v>
      </c>
      <c r="C623" s="2" t="s">
        <v>33</v>
      </c>
      <c r="D623" s="2" t="s">
        <v>21</v>
      </c>
      <c r="E623" s="2" t="s">
        <v>22</v>
      </c>
      <c r="F623" s="6" t="s">
        <v>74</v>
      </c>
      <c r="G623" s="6" t="s">
        <v>141</v>
      </c>
      <c r="I623" s="2" t="s">
        <v>264</v>
      </c>
      <c r="L623" s="2" t="s">
        <v>719</v>
      </c>
      <c r="N623" s="2">
        <f t="shared" ca="1" si="27"/>
        <v>1</v>
      </c>
      <c r="O623" s="6">
        <f t="shared" ca="1" si="28"/>
        <v>45456</v>
      </c>
      <c r="P623" s="2">
        <f t="shared" ca="1" si="29"/>
        <v>1</v>
      </c>
    </row>
    <row r="624" spans="1:16" x14ac:dyDescent="0.35">
      <c r="A624" s="2" t="s">
        <v>32</v>
      </c>
      <c r="B624" s="2">
        <v>2891564</v>
      </c>
      <c r="C624" s="2" t="s">
        <v>33</v>
      </c>
      <c r="D624" s="2" t="s">
        <v>21</v>
      </c>
      <c r="E624" s="2" t="s">
        <v>22</v>
      </c>
      <c r="F624" s="6" t="s">
        <v>74</v>
      </c>
      <c r="G624" s="6" t="s">
        <v>141</v>
      </c>
      <c r="I624" s="2" t="s">
        <v>264</v>
      </c>
      <c r="L624" s="2" t="s">
        <v>677</v>
      </c>
      <c r="N624" s="2">
        <f t="shared" ca="1" si="27"/>
        <v>1</v>
      </c>
      <c r="O624" s="6">
        <f t="shared" ca="1" si="28"/>
        <v>45456</v>
      </c>
      <c r="P624" s="2">
        <f t="shared" ca="1" si="29"/>
        <v>1</v>
      </c>
    </row>
    <row r="625" spans="1:16" x14ac:dyDescent="0.35">
      <c r="A625" s="2" t="s">
        <v>32</v>
      </c>
      <c r="B625" s="2">
        <v>2891634</v>
      </c>
      <c r="C625" s="2" t="s">
        <v>33</v>
      </c>
      <c r="D625" s="2" t="s">
        <v>21</v>
      </c>
      <c r="E625" s="2" t="s">
        <v>22</v>
      </c>
      <c r="F625" s="6" t="s">
        <v>74</v>
      </c>
      <c r="G625" s="6" t="s">
        <v>141</v>
      </c>
      <c r="I625" s="2" t="s">
        <v>264</v>
      </c>
      <c r="L625" s="2" t="s">
        <v>720</v>
      </c>
      <c r="N625" s="2">
        <f t="shared" ca="1" si="27"/>
        <v>1</v>
      </c>
      <c r="O625" s="6">
        <f t="shared" ca="1" si="28"/>
        <v>45456</v>
      </c>
      <c r="P625" s="2">
        <f t="shared" ca="1" si="29"/>
        <v>1</v>
      </c>
    </row>
    <row r="626" spans="1:16" x14ac:dyDescent="0.35">
      <c r="A626" s="2" t="s">
        <v>32</v>
      </c>
      <c r="B626" s="2">
        <v>2891960</v>
      </c>
      <c r="C626" s="2" t="s">
        <v>33</v>
      </c>
      <c r="D626" s="2" t="s">
        <v>21</v>
      </c>
      <c r="E626" s="2" t="s">
        <v>22</v>
      </c>
      <c r="F626" s="6" t="s">
        <v>74</v>
      </c>
      <c r="G626" s="6" t="s">
        <v>141</v>
      </c>
      <c r="I626" s="2" t="s">
        <v>264</v>
      </c>
      <c r="L626" s="2" t="s">
        <v>721</v>
      </c>
      <c r="N626" s="2">
        <f t="shared" ca="1" si="27"/>
        <v>1</v>
      </c>
      <c r="O626" s="6">
        <f t="shared" ca="1" si="28"/>
        <v>45456</v>
      </c>
      <c r="P626" s="2">
        <f t="shared" ca="1" si="29"/>
        <v>1</v>
      </c>
    </row>
    <row r="627" spans="1:16" x14ac:dyDescent="0.35">
      <c r="A627" s="2" t="s">
        <v>36</v>
      </c>
      <c r="B627" s="2">
        <v>2435825</v>
      </c>
      <c r="C627" s="2" t="s">
        <v>33</v>
      </c>
      <c r="D627" s="2" t="s">
        <v>309</v>
      </c>
      <c r="E627" s="2" t="s">
        <v>317</v>
      </c>
      <c r="F627" s="6" t="s">
        <v>319</v>
      </c>
      <c r="G627" s="6">
        <v>45602</v>
      </c>
      <c r="I627" s="2" t="s">
        <v>310</v>
      </c>
      <c r="L627" s="2" t="s">
        <v>318</v>
      </c>
      <c r="N627" s="2">
        <f t="shared" ca="1" si="27"/>
        <v>105</v>
      </c>
      <c r="O627" s="6">
        <f t="shared" ca="1" si="28"/>
        <v>45456</v>
      </c>
      <c r="P627" s="2">
        <f t="shared" ca="1" si="29"/>
        <v>1</v>
      </c>
    </row>
    <row r="628" spans="1:16" x14ac:dyDescent="0.35">
      <c r="A628" s="2" t="s">
        <v>38</v>
      </c>
      <c r="B628" s="2">
        <v>2438139</v>
      </c>
      <c r="C628" s="2" t="s">
        <v>33</v>
      </c>
      <c r="D628" s="2" t="s">
        <v>309</v>
      </c>
      <c r="E628" s="2" t="s">
        <v>498</v>
      </c>
      <c r="F628" s="6" t="s">
        <v>500</v>
      </c>
      <c r="G628" s="6" t="s">
        <v>141</v>
      </c>
      <c r="I628" s="2" t="s">
        <v>310</v>
      </c>
      <c r="L628" s="2" t="s">
        <v>499</v>
      </c>
      <c r="N628" s="2">
        <f t="shared" ca="1" si="27"/>
        <v>1</v>
      </c>
      <c r="O628" s="6">
        <f t="shared" ca="1" si="28"/>
        <v>45456</v>
      </c>
      <c r="P628" s="2">
        <f t="shared" ca="1" si="29"/>
        <v>1</v>
      </c>
    </row>
    <row r="629" spans="1:16" x14ac:dyDescent="0.35">
      <c r="A629" s="2" t="s">
        <v>42</v>
      </c>
      <c r="B629" s="2">
        <v>2444589</v>
      </c>
      <c r="C629" s="2" t="s">
        <v>33</v>
      </c>
      <c r="D629" s="2" t="s">
        <v>309</v>
      </c>
      <c r="E629" s="2" t="s">
        <v>320</v>
      </c>
      <c r="F629" s="6" t="s">
        <v>322</v>
      </c>
      <c r="G629" s="6" t="s">
        <v>141</v>
      </c>
      <c r="I629" s="2" t="s">
        <v>310</v>
      </c>
      <c r="L629" s="2" t="s">
        <v>321</v>
      </c>
      <c r="N629" s="2">
        <f t="shared" ca="1" si="27"/>
        <v>1</v>
      </c>
      <c r="O629" s="6">
        <f t="shared" ca="1" si="28"/>
        <v>45456</v>
      </c>
      <c r="P629" s="2">
        <f t="shared" ca="1" si="29"/>
        <v>1</v>
      </c>
    </row>
    <row r="630" spans="1:16" x14ac:dyDescent="0.35">
      <c r="A630" s="2" t="s">
        <v>43</v>
      </c>
      <c r="B630" s="2">
        <v>2450449</v>
      </c>
      <c r="C630" s="2" t="s">
        <v>33</v>
      </c>
      <c r="D630" s="2" t="s">
        <v>309</v>
      </c>
      <c r="E630" s="2" t="s">
        <v>323</v>
      </c>
      <c r="F630" s="6" t="s">
        <v>325</v>
      </c>
      <c r="G630" s="6">
        <v>45479</v>
      </c>
      <c r="I630" s="2" t="s">
        <v>310</v>
      </c>
      <c r="L630" s="2" t="s">
        <v>324</v>
      </c>
      <c r="N630" s="2">
        <f t="shared" ca="1" si="27"/>
        <v>17</v>
      </c>
      <c r="O630" s="6">
        <f t="shared" ca="1" si="28"/>
        <v>45456</v>
      </c>
      <c r="P630" s="2">
        <f t="shared" ca="1" si="29"/>
        <v>1</v>
      </c>
    </row>
    <row r="631" spans="1:16" x14ac:dyDescent="0.35">
      <c r="A631" s="2" t="s">
        <v>39</v>
      </c>
      <c r="B631" s="2">
        <v>2485865</v>
      </c>
      <c r="C631" s="2" t="s">
        <v>33</v>
      </c>
      <c r="D631" s="2" t="s">
        <v>309</v>
      </c>
      <c r="E631" s="2" t="s">
        <v>498</v>
      </c>
      <c r="F631" s="6" t="s">
        <v>502</v>
      </c>
      <c r="G631" s="6" t="s">
        <v>141</v>
      </c>
      <c r="I631" s="2" t="s">
        <v>310</v>
      </c>
      <c r="L631" s="2" t="s">
        <v>501</v>
      </c>
      <c r="N631" s="2">
        <f t="shared" ca="1" si="27"/>
        <v>1</v>
      </c>
      <c r="O631" s="6">
        <f t="shared" ca="1" si="28"/>
        <v>45456</v>
      </c>
      <c r="P631" s="2">
        <f t="shared" ca="1" si="29"/>
        <v>1</v>
      </c>
    </row>
    <row r="632" spans="1:16" x14ac:dyDescent="0.35">
      <c r="A632" s="2" t="s">
        <v>60</v>
      </c>
      <c r="B632" s="2">
        <v>2485933</v>
      </c>
      <c r="C632" s="2" t="s">
        <v>33</v>
      </c>
      <c r="D632" s="2" t="s">
        <v>309</v>
      </c>
      <c r="E632" s="2" t="s">
        <v>498</v>
      </c>
      <c r="F632" s="6" t="s">
        <v>502</v>
      </c>
      <c r="G632" s="6" t="s">
        <v>141</v>
      </c>
      <c r="I632" s="2" t="s">
        <v>310</v>
      </c>
      <c r="L632" s="2" t="s">
        <v>503</v>
      </c>
      <c r="N632" s="2">
        <f t="shared" ca="1" si="27"/>
        <v>1</v>
      </c>
      <c r="O632" s="6">
        <f t="shared" ca="1" si="28"/>
        <v>45456</v>
      </c>
      <c r="P632" s="2">
        <f t="shared" ca="1" si="29"/>
        <v>1</v>
      </c>
    </row>
    <row r="633" spans="1:16" x14ac:dyDescent="0.35">
      <c r="A633" s="2" t="s">
        <v>61</v>
      </c>
      <c r="B633" s="2">
        <v>2486074</v>
      </c>
      <c r="C633" s="2" t="s">
        <v>33</v>
      </c>
      <c r="D633" s="2" t="s">
        <v>309</v>
      </c>
      <c r="E633" s="2" t="s">
        <v>498</v>
      </c>
      <c r="F633" s="6" t="s">
        <v>502</v>
      </c>
      <c r="G633" s="6" t="s">
        <v>141</v>
      </c>
      <c r="I633" s="2" t="s">
        <v>310</v>
      </c>
      <c r="L633" s="2" t="s">
        <v>504</v>
      </c>
      <c r="N633" s="2">
        <f t="shared" ca="1" si="27"/>
        <v>1</v>
      </c>
      <c r="O633" s="6">
        <f t="shared" ca="1" si="28"/>
        <v>45456</v>
      </c>
      <c r="P633" s="2">
        <f t="shared" ca="1" si="29"/>
        <v>1</v>
      </c>
    </row>
    <row r="634" spans="1:16" x14ac:dyDescent="0.35">
      <c r="A634" s="2" t="s">
        <v>59</v>
      </c>
      <c r="B634" s="2">
        <v>2486310</v>
      </c>
      <c r="C634" s="2" t="s">
        <v>33</v>
      </c>
      <c r="D634" s="2" t="s">
        <v>309</v>
      </c>
      <c r="E634" s="2" t="s">
        <v>498</v>
      </c>
      <c r="F634" s="6" t="s">
        <v>502</v>
      </c>
      <c r="G634" s="6" t="s">
        <v>141</v>
      </c>
      <c r="I634" s="2" t="s">
        <v>310</v>
      </c>
      <c r="L634" s="2" t="s">
        <v>505</v>
      </c>
      <c r="N634" s="2">
        <f t="shared" ca="1" si="27"/>
        <v>1</v>
      </c>
      <c r="O634" s="6">
        <f t="shared" ca="1" si="28"/>
        <v>45456</v>
      </c>
      <c r="P634" s="2">
        <f t="shared" ca="1" si="29"/>
        <v>1</v>
      </c>
    </row>
    <row r="635" spans="1:16" x14ac:dyDescent="0.35">
      <c r="A635" s="2" t="s">
        <v>37</v>
      </c>
      <c r="B635" s="2">
        <v>2486323</v>
      </c>
      <c r="C635" s="2" t="s">
        <v>33</v>
      </c>
      <c r="D635" s="2" t="s">
        <v>309</v>
      </c>
      <c r="E635" s="2" t="s">
        <v>498</v>
      </c>
      <c r="F635" s="6" t="s">
        <v>502</v>
      </c>
      <c r="G635" s="6" t="s">
        <v>141</v>
      </c>
      <c r="I635" s="2" t="s">
        <v>310</v>
      </c>
      <c r="L635" s="2" t="s">
        <v>506</v>
      </c>
      <c r="N635" s="2">
        <f t="shared" ca="1" si="27"/>
        <v>1</v>
      </c>
      <c r="O635" s="6">
        <f t="shared" ca="1" si="28"/>
        <v>45456</v>
      </c>
      <c r="P635" s="2">
        <f t="shared" ca="1" si="29"/>
        <v>1</v>
      </c>
    </row>
    <row r="636" spans="1:16" x14ac:dyDescent="0.35">
      <c r="A636" s="2" t="s">
        <v>40</v>
      </c>
      <c r="B636" s="2">
        <v>2486331</v>
      </c>
      <c r="C636" s="2" t="s">
        <v>33</v>
      </c>
      <c r="D636" s="2" t="s">
        <v>309</v>
      </c>
      <c r="E636" s="2" t="s">
        <v>498</v>
      </c>
      <c r="F636" s="6" t="s">
        <v>502</v>
      </c>
      <c r="G636" s="6" t="s">
        <v>141</v>
      </c>
      <c r="I636" s="2" t="s">
        <v>310</v>
      </c>
      <c r="L636" s="2" t="s">
        <v>507</v>
      </c>
      <c r="N636" s="2">
        <f t="shared" ca="1" si="27"/>
        <v>1</v>
      </c>
      <c r="O636" s="6">
        <f t="shared" ca="1" si="28"/>
        <v>45456</v>
      </c>
      <c r="P636" s="2">
        <f t="shared" ca="1" si="29"/>
        <v>1</v>
      </c>
    </row>
    <row r="637" spans="1:16" x14ac:dyDescent="0.35">
      <c r="A637" s="2" t="s">
        <v>36</v>
      </c>
      <c r="B637" s="2">
        <v>2486357</v>
      </c>
      <c r="C637" s="2" t="s">
        <v>33</v>
      </c>
      <c r="D637" s="2" t="s">
        <v>309</v>
      </c>
      <c r="E637" s="2" t="s">
        <v>498</v>
      </c>
      <c r="F637" s="6" t="s">
        <v>502</v>
      </c>
      <c r="G637" s="6" t="s">
        <v>141</v>
      </c>
      <c r="I637" s="2" t="s">
        <v>310</v>
      </c>
      <c r="L637" s="2" t="s">
        <v>508</v>
      </c>
      <c r="N637" s="2">
        <f t="shared" ca="1" si="27"/>
        <v>1</v>
      </c>
      <c r="O637" s="6">
        <f t="shared" ca="1" si="28"/>
        <v>45456</v>
      </c>
      <c r="P637" s="2">
        <f t="shared" ca="1" si="29"/>
        <v>1</v>
      </c>
    </row>
    <row r="638" spans="1:16" x14ac:dyDescent="0.35">
      <c r="A638" s="2" t="s">
        <v>38</v>
      </c>
      <c r="B638" s="2">
        <v>2486362</v>
      </c>
      <c r="C638" s="2" t="s">
        <v>33</v>
      </c>
      <c r="D638" s="2" t="s">
        <v>309</v>
      </c>
      <c r="E638" s="2" t="s">
        <v>498</v>
      </c>
      <c r="F638" s="6" t="s">
        <v>502</v>
      </c>
      <c r="G638" s="6" t="s">
        <v>141</v>
      </c>
      <c r="I638" s="2" t="s">
        <v>310</v>
      </c>
      <c r="L638" s="2" t="s">
        <v>509</v>
      </c>
      <c r="N638" s="2">
        <f t="shared" ca="1" si="27"/>
        <v>1</v>
      </c>
      <c r="O638" s="6">
        <f t="shared" ca="1" si="28"/>
        <v>45456</v>
      </c>
      <c r="P638" s="2">
        <f t="shared" ca="1" si="29"/>
        <v>1</v>
      </c>
    </row>
    <row r="639" spans="1:16" x14ac:dyDescent="0.35">
      <c r="A639" s="2" t="s">
        <v>42</v>
      </c>
      <c r="B639" s="2">
        <v>2486367</v>
      </c>
      <c r="C639" s="2" t="s">
        <v>33</v>
      </c>
      <c r="D639" s="2" t="s">
        <v>309</v>
      </c>
      <c r="E639" s="2" t="s">
        <v>498</v>
      </c>
      <c r="F639" s="6" t="s">
        <v>502</v>
      </c>
      <c r="G639" s="6" t="s">
        <v>141</v>
      </c>
      <c r="I639" s="2" t="s">
        <v>310</v>
      </c>
      <c r="L639" s="2" t="s">
        <v>510</v>
      </c>
      <c r="N639" s="2">
        <f t="shared" ca="1" si="27"/>
        <v>1</v>
      </c>
      <c r="O639" s="6">
        <f t="shared" ca="1" si="28"/>
        <v>45456</v>
      </c>
      <c r="P639" s="2">
        <f t="shared" ca="1" si="29"/>
        <v>1</v>
      </c>
    </row>
    <row r="640" spans="1:16" x14ac:dyDescent="0.35">
      <c r="A640" s="2" t="s">
        <v>43</v>
      </c>
      <c r="B640" s="2">
        <v>2562514</v>
      </c>
      <c r="C640" s="2" t="s">
        <v>33</v>
      </c>
      <c r="D640" s="2" t="s">
        <v>309</v>
      </c>
      <c r="E640" s="2" t="s">
        <v>535</v>
      </c>
      <c r="F640" s="6" t="s">
        <v>58</v>
      </c>
      <c r="G640" s="6" t="s">
        <v>141</v>
      </c>
      <c r="I640" s="2" t="s">
        <v>310</v>
      </c>
      <c r="L640" s="2" t="s">
        <v>723</v>
      </c>
      <c r="N640" s="2">
        <f t="shared" ca="1" si="27"/>
        <v>1</v>
      </c>
      <c r="O640" s="6">
        <f t="shared" ca="1" si="28"/>
        <v>45456</v>
      </c>
      <c r="P640" s="2">
        <f t="shared" ca="1" si="29"/>
        <v>1</v>
      </c>
    </row>
    <row r="641" spans="1:16" x14ac:dyDescent="0.35">
      <c r="A641" s="2" t="s">
        <v>39</v>
      </c>
      <c r="B641" s="2">
        <v>2582821</v>
      </c>
      <c r="C641" s="2" t="s">
        <v>33</v>
      </c>
      <c r="D641" s="2" t="s">
        <v>309</v>
      </c>
      <c r="E641" s="2" t="s">
        <v>331</v>
      </c>
      <c r="F641" s="6" t="s">
        <v>333</v>
      </c>
      <c r="G641" s="6">
        <v>45479</v>
      </c>
      <c r="I641" s="2" t="s">
        <v>310</v>
      </c>
      <c r="L641" s="2" t="s">
        <v>332</v>
      </c>
      <c r="N641" s="2">
        <f t="shared" ca="1" si="27"/>
        <v>17</v>
      </c>
      <c r="O641" s="6">
        <f t="shared" ca="1" si="28"/>
        <v>45456</v>
      </c>
      <c r="P641" s="2">
        <f t="shared" ca="1" si="29"/>
        <v>1</v>
      </c>
    </row>
    <row r="642" spans="1:16" x14ac:dyDescent="0.35">
      <c r="A642" s="2" t="s">
        <v>60</v>
      </c>
      <c r="B642" s="2">
        <v>2702413</v>
      </c>
      <c r="C642" s="2" t="s">
        <v>33</v>
      </c>
      <c r="D642" s="2" t="s">
        <v>309</v>
      </c>
      <c r="E642" s="2" t="s">
        <v>361</v>
      </c>
      <c r="F642" s="6" t="s">
        <v>85</v>
      </c>
      <c r="G642" s="6">
        <v>45602</v>
      </c>
      <c r="I642" s="2" t="s">
        <v>310</v>
      </c>
      <c r="L642" s="2" t="s">
        <v>362</v>
      </c>
      <c r="N642" s="2">
        <f t="shared" ca="1" si="27"/>
        <v>105</v>
      </c>
      <c r="O642" s="6">
        <f t="shared" ca="1" si="28"/>
        <v>45456</v>
      </c>
      <c r="P642" s="2">
        <f t="shared" ca="1" si="29"/>
        <v>1</v>
      </c>
    </row>
    <row r="643" spans="1:16" x14ac:dyDescent="0.35">
      <c r="A643" s="2" t="s">
        <v>61</v>
      </c>
      <c r="B643" s="2">
        <v>2723176</v>
      </c>
      <c r="C643" s="2" t="s">
        <v>33</v>
      </c>
      <c r="D643" s="2" t="s">
        <v>309</v>
      </c>
      <c r="E643" s="2" t="s">
        <v>330</v>
      </c>
      <c r="F643" s="6" t="s">
        <v>126</v>
      </c>
      <c r="G643" s="6">
        <v>45632</v>
      </c>
      <c r="I643" s="2" t="s">
        <v>310</v>
      </c>
      <c r="L643" s="2" t="s">
        <v>724</v>
      </c>
      <c r="N643" s="2">
        <f t="shared" ref="N643:N706" ca="1" si="30">IF(G643 &lt; TODAY(), -NETWORKDAYS(G643, TODAY()), NETWORKDAYS(TODAY(), G643))</f>
        <v>127</v>
      </c>
      <c r="O643" s="6">
        <f t="shared" ref="O643:O706" ca="1" si="31">TODAY()</f>
        <v>45456</v>
      </c>
      <c r="P643" s="2">
        <f t="shared" ref="P643:P706" ca="1" si="32">NETWORKDAYS(O643,TODAY())</f>
        <v>1</v>
      </c>
    </row>
    <row r="644" spans="1:16" x14ac:dyDescent="0.35">
      <c r="A644" s="2" t="s">
        <v>59</v>
      </c>
      <c r="B644" s="2">
        <v>2723306</v>
      </c>
      <c r="C644" s="2" t="s">
        <v>33</v>
      </c>
      <c r="D644" s="2" t="s">
        <v>309</v>
      </c>
      <c r="E644" s="2" t="s">
        <v>363</v>
      </c>
      <c r="F644" s="6" t="s">
        <v>126</v>
      </c>
      <c r="G644" s="6">
        <v>45479</v>
      </c>
      <c r="I644" s="2" t="s">
        <v>310</v>
      </c>
      <c r="L644" s="2" t="s">
        <v>364</v>
      </c>
      <c r="N644" s="2">
        <f t="shared" ca="1" si="30"/>
        <v>17</v>
      </c>
      <c r="O644" s="6">
        <f t="shared" ca="1" si="31"/>
        <v>45456</v>
      </c>
      <c r="P644" s="2">
        <f t="shared" ca="1" si="32"/>
        <v>1</v>
      </c>
    </row>
    <row r="645" spans="1:16" x14ac:dyDescent="0.35">
      <c r="A645" s="2" t="s">
        <v>37</v>
      </c>
      <c r="B645" s="2">
        <v>2859885</v>
      </c>
      <c r="C645" s="2" t="s">
        <v>33</v>
      </c>
      <c r="D645" s="2" t="s">
        <v>309</v>
      </c>
      <c r="E645" s="2" t="s">
        <v>330</v>
      </c>
      <c r="F645" s="6" t="s">
        <v>114</v>
      </c>
      <c r="G645" s="6">
        <v>45632</v>
      </c>
      <c r="I645" s="2" t="s">
        <v>310</v>
      </c>
      <c r="L645" s="2" t="s">
        <v>725</v>
      </c>
      <c r="N645" s="2">
        <f t="shared" ca="1" si="30"/>
        <v>127</v>
      </c>
      <c r="O645" s="6">
        <f t="shared" ca="1" si="31"/>
        <v>45456</v>
      </c>
      <c r="P645" s="2">
        <f t="shared" ca="1" si="32"/>
        <v>1</v>
      </c>
    </row>
    <row r="646" spans="1:16" x14ac:dyDescent="0.35">
      <c r="A646" s="2" t="s">
        <v>40</v>
      </c>
      <c r="B646" s="2">
        <v>2862399</v>
      </c>
      <c r="C646" s="2" t="s">
        <v>33</v>
      </c>
      <c r="D646" s="2" t="s">
        <v>309</v>
      </c>
      <c r="E646" s="2" t="s">
        <v>363</v>
      </c>
      <c r="F646" s="6" t="s">
        <v>102</v>
      </c>
      <c r="G646" s="6">
        <v>45632</v>
      </c>
      <c r="I646" s="2" t="s">
        <v>310</v>
      </c>
      <c r="L646" s="2" t="s">
        <v>726</v>
      </c>
      <c r="N646" s="2">
        <f t="shared" ca="1" si="30"/>
        <v>127</v>
      </c>
      <c r="O646" s="6">
        <f t="shared" ca="1" si="31"/>
        <v>45456</v>
      </c>
      <c r="P646" s="2">
        <f t="shared" ca="1" si="32"/>
        <v>1</v>
      </c>
    </row>
    <row r="647" spans="1:16" x14ac:dyDescent="0.35">
      <c r="A647" s="2" t="s">
        <v>41</v>
      </c>
      <c r="B647" s="2">
        <v>2876536</v>
      </c>
      <c r="C647" s="2" t="s">
        <v>33</v>
      </c>
      <c r="D647" s="2" t="s">
        <v>356</v>
      </c>
      <c r="E647" s="2" t="s">
        <v>414</v>
      </c>
      <c r="F647" s="6" t="s">
        <v>139</v>
      </c>
      <c r="G647" s="6">
        <v>45632</v>
      </c>
      <c r="I647" s="2" t="s">
        <v>357</v>
      </c>
      <c r="L647" s="2" t="s">
        <v>727</v>
      </c>
      <c r="N647" s="2">
        <f t="shared" ca="1" si="30"/>
        <v>127</v>
      </c>
      <c r="O647" s="6">
        <f t="shared" ca="1" si="31"/>
        <v>45456</v>
      </c>
      <c r="P647" s="2">
        <f t="shared" ca="1" si="32"/>
        <v>1</v>
      </c>
    </row>
    <row r="648" spans="1:16" x14ac:dyDescent="0.35">
      <c r="A648" s="2" t="s">
        <v>41</v>
      </c>
      <c r="B648" s="2">
        <v>2876540</v>
      </c>
      <c r="C648" s="2" t="s">
        <v>33</v>
      </c>
      <c r="D648" s="2" t="s">
        <v>356</v>
      </c>
      <c r="E648" s="2" t="s">
        <v>414</v>
      </c>
      <c r="F648" s="6" t="s">
        <v>139</v>
      </c>
      <c r="G648" s="6">
        <v>45632</v>
      </c>
      <c r="I648" s="2" t="s">
        <v>357</v>
      </c>
      <c r="L648" s="2" t="s">
        <v>728</v>
      </c>
      <c r="N648" s="2">
        <f t="shared" ca="1" si="30"/>
        <v>127</v>
      </c>
      <c r="O648" s="6">
        <f t="shared" ca="1" si="31"/>
        <v>45456</v>
      </c>
      <c r="P648" s="2">
        <f t="shared" ca="1" si="32"/>
        <v>1</v>
      </c>
    </row>
    <row r="649" spans="1:16" x14ac:dyDescent="0.35">
      <c r="A649" s="2" t="s">
        <v>36</v>
      </c>
      <c r="B649" s="2">
        <v>2877339</v>
      </c>
      <c r="C649" s="2" t="s">
        <v>33</v>
      </c>
      <c r="D649" s="2" t="s">
        <v>23</v>
      </c>
      <c r="E649" s="2" t="s">
        <v>729</v>
      </c>
      <c r="F649" s="6" t="s">
        <v>129</v>
      </c>
      <c r="G649" s="6">
        <v>45632</v>
      </c>
      <c r="I649" s="2" t="s">
        <v>357</v>
      </c>
      <c r="L649" s="2" t="s">
        <v>730</v>
      </c>
      <c r="N649" s="2">
        <f t="shared" ca="1" si="30"/>
        <v>127</v>
      </c>
      <c r="O649" s="6">
        <f t="shared" ca="1" si="31"/>
        <v>45456</v>
      </c>
      <c r="P649" s="2">
        <f t="shared" ca="1" si="32"/>
        <v>1</v>
      </c>
    </row>
    <row r="650" spans="1:16" x14ac:dyDescent="0.35">
      <c r="A650" s="2" t="s">
        <v>41</v>
      </c>
      <c r="B650" s="2">
        <v>2877524</v>
      </c>
      <c r="C650" s="2" t="s">
        <v>33</v>
      </c>
      <c r="D650" s="2" t="s">
        <v>356</v>
      </c>
      <c r="E650" s="2" t="s">
        <v>365</v>
      </c>
      <c r="F650" s="6" t="s">
        <v>129</v>
      </c>
      <c r="G650" s="6">
        <v>45632</v>
      </c>
      <c r="I650" s="2" t="s">
        <v>357</v>
      </c>
      <c r="L650" s="2" t="s">
        <v>731</v>
      </c>
      <c r="N650" s="2">
        <f t="shared" ca="1" si="30"/>
        <v>127</v>
      </c>
      <c r="O650" s="6">
        <f t="shared" ca="1" si="31"/>
        <v>45456</v>
      </c>
      <c r="P650" s="2">
        <f t="shared" ca="1" si="32"/>
        <v>1</v>
      </c>
    </row>
    <row r="651" spans="1:16" x14ac:dyDescent="0.35">
      <c r="A651" s="2" t="s">
        <v>41</v>
      </c>
      <c r="B651" s="2">
        <v>2877565</v>
      </c>
      <c r="C651" s="2" t="s">
        <v>33</v>
      </c>
      <c r="D651" s="2" t="s">
        <v>356</v>
      </c>
      <c r="E651" s="2" t="s">
        <v>365</v>
      </c>
      <c r="F651" s="6" t="s">
        <v>129</v>
      </c>
      <c r="G651" s="6">
        <v>45632</v>
      </c>
      <c r="I651" s="2" t="s">
        <v>357</v>
      </c>
      <c r="L651" s="2" t="s">
        <v>512</v>
      </c>
      <c r="N651" s="2">
        <f t="shared" ca="1" si="30"/>
        <v>127</v>
      </c>
      <c r="O651" s="6">
        <f t="shared" ca="1" si="31"/>
        <v>45456</v>
      </c>
      <c r="P651" s="2">
        <f t="shared" ca="1" si="32"/>
        <v>1</v>
      </c>
    </row>
    <row r="652" spans="1:16" x14ac:dyDescent="0.35">
      <c r="A652" s="2" t="s">
        <v>41</v>
      </c>
      <c r="B652" s="2">
        <v>2879049</v>
      </c>
      <c r="C652" s="2" t="s">
        <v>33</v>
      </c>
      <c r="D652" s="2" t="s">
        <v>356</v>
      </c>
      <c r="E652" s="2" t="s">
        <v>365</v>
      </c>
      <c r="F652" s="6" t="s">
        <v>129</v>
      </c>
      <c r="G652" s="6">
        <v>45632</v>
      </c>
      <c r="I652" s="2" t="s">
        <v>357</v>
      </c>
      <c r="L652" s="2" t="s">
        <v>732</v>
      </c>
      <c r="N652" s="2">
        <f t="shared" ca="1" si="30"/>
        <v>127</v>
      </c>
      <c r="O652" s="6">
        <f t="shared" ca="1" si="31"/>
        <v>45456</v>
      </c>
      <c r="P652" s="2">
        <f t="shared" ca="1" si="32"/>
        <v>1</v>
      </c>
    </row>
    <row r="653" spans="1:16" x14ac:dyDescent="0.35">
      <c r="A653" s="2" t="s">
        <v>38</v>
      </c>
      <c r="B653" s="2">
        <v>2883200</v>
      </c>
      <c r="C653" s="2" t="s">
        <v>33</v>
      </c>
      <c r="D653" s="2" t="s">
        <v>309</v>
      </c>
      <c r="E653" s="2" t="s">
        <v>513</v>
      </c>
      <c r="F653" s="6" t="s">
        <v>78</v>
      </c>
      <c r="G653" s="6">
        <v>45632</v>
      </c>
      <c r="I653" s="2" t="s">
        <v>310</v>
      </c>
      <c r="L653" s="2" t="s">
        <v>514</v>
      </c>
      <c r="N653" s="2">
        <f t="shared" ca="1" si="30"/>
        <v>127</v>
      </c>
      <c r="O653" s="6">
        <f t="shared" ca="1" si="31"/>
        <v>45456</v>
      </c>
      <c r="P653" s="2">
        <f t="shared" ca="1" si="32"/>
        <v>1</v>
      </c>
    </row>
    <row r="654" spans="1:16" x14ac:dyDescent="0.35">
      <c r="A654" s="2" t="s">
        <v>41</v>
      </c>
      <c r="B654" s="2">
        <v>2883822</v>
      </c>
      <c r="C654" s="2" t="s">
        <v>33</v>
      </c>
      <c r="D654" s="2" t="s">
        <v>356</v>
      </c>
      <c r="E654" s="2" t="s">
        <v>397</v>
      </c>
      <c r="F654" s="6" t="s">
        <v>78</v>
      </c>
      <c r="G654" s="6">
        <v>45632</v>
      </c>
      <c r="I654" s="2" t="s">
        <v>357</v>
      </c>
      <c r="L654" s="2" t="s">
        <v>733</v>
      </c>
      <c r="N654" s="2">
        <f t="shared" ca="1" si="30"/>
        <v>127</v>
      </c>
      <c r="O654" s="6">
        <f t="shared" ca="1" si="31"/>
        <v>45456</v>
      </c>
      <c r="P654" s="2">
        <f t="shared" ca="1" si="32"/>
        <v>1</v>
      </c>
    </row>
    <row r="655" spans="1:16" x14ac:dyDescent="0.35">
      <c r="A655" s="2" t="s">
        <v>41</v>
      </c>
      <c r="B655" s="2">
        <v>2884350</v>
      </c>
      <c r="C655" s="2" t="s">
        <v>33</v>
      </c>
      <c r="D655" s="2" t="s">
        <v>356</v>
      </c>
      <c r="E655" s="2" t="s">
        <v>365</v>
      </c>
      <c r="F655" s="6" t="s">
        <v>78</v>
      </c>
      <c r="G655" s="6">
        <v>45632</v>
      </c>
      <c r="I655" s="2" t="s">
        <v>357</v>
      </c>
      <c r="L655" s="2" t="s">
        <v>515</v>
      </c>
      <c r="N655" s="2">
        <f t="shared" ca="1" si="30"/>
        <v>127</v>
      </c>
      <c r="O655" s="6">
        <f t="shared" ca="1" si="31"/>
        <v>45456</v>
      </c>
      <c r="P655" s="2">
        <f t="shared" ca="1" si="32"/>
        <v>1</v>
      </c>
    </row>
    <row r="656" spans="1:16" x14ac:dyDescent="0.35">
      <c r="A656" s="2" t="s">
        <v>42</v>
      </c>
      <c r="B656" s="2">
        <v>2884651</v>
      </c>
      <c r="C656" s="2" t="s">
        <v>33</v>
      </c>
      <c r="D656" s="2" t="s">
        <v>309</v>
      </c>
      <c r="E656" s="2" t="s">
        <v>360</v>
      </c>
      <c r="F656" s="6" t="s">
        <v>78</v>
      </c>
      <c r="G656" s="6">
        <v>45632</v>
      </c>
      <c r="I656" s="2" t="s">
        <v>310</v>
      </c>
      <c r="L656" s="2" t="s">
        <v>734</v>
      </c>
      <c r="N656" s="2">
        <f t="shared" ca="1" si="30"/>
        <v>127</v>
      </c>
      <c r="O656" s="6">
        <f t="shared" ca="1" si="31"/>
        <v>45456</v>
      </c>
      <c r="P656" s="2">
        <f t="shared" ca="1" si="32"/>
        <v>1</v>
      </c>
    </row>
    <row r="657" spans="1:16" x14ac:dyDescent="0.35">
      <c r="A657" s="2" t="s">
        <v>43</v>
      </c>
      <c r="B657" s="2">
        <v>2886619</v>
      </c>
      <c r="C657" s="2" t="s">
        <v>33</v>
      </c>
      <c r="D657" s="2" t="s">
        <v>23</v>
      </c>
      <c r="E657" s="2" t="s">
        <v>735</v>
      </c>
      <c r="F657" s="6" t="s">
        <v>78</v>
      </c>
      <c r="G657" s="6">
        <v>45632</v>
      </c>
      <c r="I657" s="2" t="s">
        <v>357</v>
      </c>
      <c r="L657" s="2" t="s">
        <v>736</v>
      </c>
      <c r="N657" s="2">
        <f t="shared" ca="1" si="30"/>
        <v>127</v>
      </c>
      <c r="O657" s="6">
        <f t="shared" ca="1" si="31"/>
        <v>45456</v>
      </c>
      <c r="P657" s="2">
        <f t="shared" ca="1" si="32"/>
        <v>1</v>
      </c>
    </row>
    <row r="658" spans="1:16" x14ac:dyDescent="0.35">
      <c r="A658" s="2" t="s">
        <v>39</v>
      </c>
      <c r="B658" s="2">
        <v>2886630</v>
      </c>
      <c r="C658" s="2" t="s">
        <v>33</v>
      </c>
      <c r="D658" s="2" t="s">
        <v>23</v>
      </c>
      <c r="E658" s="2" t="s">
        <v>735</v>
      </c>
      <c r="F658" s="6" t="s">
        <v>78</v>
      </c>
      <c r="G658" s="6">
        <v>45632</v>
      </c>
      <c r="I658" s="2" t="s">
        <v>357</v>
      </c>
      <c r="L658" s="2" t="s">
        <v>736</v>
      </c>
      <c r="N658" s="2">
        <f t="shared" ca="1" si="30"/>
        <v>127</v>
      </c>
      <c r="O658" s="6">
        <f t="shared" ca="1" si="31"/>
        <v>45456</v>
      </c>
      <c r="P658" s="2">
        <f t="shared" ca="1" si="32"/>
        <v>1</v>
      </c>
    </row>
    <row r="659" spans="1:16" x14ac:dyDescent="0.35">
      <c r="A659" s="2" t="s">
        <v>60</v>
      </c>
      <c r="B659" s="2">
        <v>2886639</v>
      </c>
      <c r="C659" s="2" t="s">
        <v>33</v>
      </c>
      <c r="D659" s="2" t="s">
        <v>23</v>
      </c>
      <c r="E659" s="2" t="s">
        <v>735</v>
      </c>
      <c r="F659" s="6" t="s">
        <v>78</v>
      </c>
      <c r="G659" s="6">
        <v>45632</v>
      </c>
      <c r="I659" s="2" t="s">
        <v>357</v>
      </c>
      <c r="L659" s="2" t="s">
        <v>736</v>
      </c>
      <c r="N659" s="2">
        <f t="shared" ca="1" si="30"/>
        <v>127</v>
      </c>
      <c r="O659" s="6">
        <f t="shared" ca="1" si="31"/>
        <v>45456</v>
      </c>
      <c r="P659" s="2">
        <f t="shared" ca="1" si="32"/>
        <v>1</v>
      </c>
    </row>
    <row r="660" spans="1:16" x14ac:dyDescent="0.35">
      <c r="A660" s="2" t="s">
        <v>61</v>
      </c>
      <c r="B660" s="2">
        <v>2888178</v>
      </c>
      <c r="C660" s="2" t="s">
        <v>33</v>
      </c>
      <c r="D660" s="2" t="s">
        <v>24</v>
      </c>
      <c r="E660" s="2" t="s">
        <v>365</v>
      </c>
      <c r="F660" s="6" t="s">
        <v>124</v>
      </c>
      <c r="G660" s="6">
        <v>45602</v>
      </c>
      <c r="I660" s="2" t="s">
        <v>737</v>
      </c>
      <c r="L660" s="2" t="s">
        <v>367</v>
      </c>
      <c r="N660" s="2">
        <f t="shared" ca="1" si="30"/>
        <v>105</v>
      </c>
      <c r="O660" s="6">
        <f t="shared" ca="1" si="31"/>
        <v>45456</v>
      </c>
      <c r="P660" s="2">
        <f t="shared" ca="1" si="32"/>
        <v>1</v>
      </c>
    </row>
    <row r="661" spans="1:16" x14ac:dyDescent="0.35">
      <c r="A661" s="2" t="s">
        <v>59</v>
      </c>
      <c r="B661" s="2">
        <v>2888389</v>
      </c>
      <c r="C661" s="2" t="s">
        <v>33</v>
      </c>
      <c r="D661" s="2" t="s">
        <v>24</v>
      </c>
      <c r="E661" s="2" t="s">
        <v>517</v>
      </c>
      <c r="F661" s="6" t="s">
        <v>124</v>
      </c>
      <c r="G661" s="6">
        <v>45632</v>
      </c>
      <c r="I661" s="2" t="s">
        <v>357</v>
      </c>
      <c r="L661" s="2" t="s">
        <v>738</v>
      </c>
      <c r="N661" s="2">
        <f t="shared" ca="1" si="30"/>
        <v>127</v>
      </c>
      <c r="O661" s="6">
        <f t="shared" ca="1" si="31"/>
        <v>45456</v>
      </c>
      <c r="P661" s="2">
        <f t="shared" ca="1" si="32"/>
        <v>1</v>
      </c>
    </row>
    <row r="662" spans="1:16" x14ac:dyDescent="0.35">
      <c r="A662" s="2" t="s">
        <v>37</v>
      </c>
      <c r="B662" s="2">
        <v>2888460</v>
      </c>
      <c r="C662" s="2" t="s">
        <v>33</v>
      </c>
      <c r="D662" s="2" t="s">
        <v>23</v>
      </c>
      <c r="E662" s="2" t="s">
        <v>729</v>
      </c>
      <c r="F662" s="6" t="s">
        <v>124</v>
      </c>
      <c r="G662" s="6">
        <v>45632</v>
      </c>
      <c r="I662" s="2" t="s">
        <v>357</v>
      </c>
      <c r="L662" s="2" t="s">
        <v>739</v>
      </c>
      <c r="N662" s="2">
        <f t="shared" ca="1" si="30"/>
        <v>127</v>
      </c>
      <c r="O662" s="6">
        <f t="shared" ca="1" si="31"/>
        <v>45456</v>
      </c>
      <c r="P662" s="2">
        <f t="shared" ca="1" si="32"/>
        <v>1</v>
      </c>
    </row>
    <row r="663" spans="1:16" x14ac:dyDescent="0.35">
      <c r="A663" s="2" t="s">
        <v>41</v>
      </c>
      <c r="B663" s="2">
        <v>2888735</v>
      </c>
      <c r="C663" s="2" t="s">
        <v>33</v>
      </c>
      <c r="D663" s="2" t="s">
        <v>356</v>
      </c>
      <c r="E663" s="2" t="s">
        <v>374</v>
      </c>
      <c r="F663" s="6" t="s">
        <v>124</v>
      </c>
      <c r="G663" s="6">
        <v>45602</v>
      </c>
      <c r="I663" s="2" t="s">
        <v>357</v>
      </c>
      <c r="L663" s="2" t="s">
        <v>740</v>
      </c>
      <c r="N663" s="2">
        <f t="shared" ca="1" si="30"/>
        <v>105</v>
      </c>
      <c r="O663" s="6">
        <f t="shared" ca="1" si="31"/>
        <v>45456</v>
      </c>
      <c r="P663" s="2">
        <f t="shared" ca="1" si="32"/>
        <v>1</v>
      </c>
    </row>
    <row r="664" spans="1:16" x14ac:dyDescent="0.35">
      <c r="A664" s="2" t="s">
        <v>40</v>
      </c>
      <c r="B664" s="2">
        <v>2888767</v>
      </c>
      <c r="C664" s="2" t="s">
        <v>33</v>
      </c>
      <c r="D664" s="2" t="s">
        <v>23</v>
      </c>
      <c r="E664" s="2" t="s">
        <v>729</v>
      </c>
      <c r="F664" s="6" t="s">
        <v>124</v>
      </c>
      <c r="G664" s="6">
        <v>45632</v>
      </c>
      <c r="I664" s="2" t="s">
        <v>357</v>
      </c>
      <c r="L664" s="2" t="s">
        <v>739</v>
      </c>
      <c r="N664" s="2">
        <f t="shared" ca="1" si="30"/>
        <v>127</v>
      </c>
      <c r="O664" s="6">
        <f t="shared" ca="1" si="31"/>
        <v>45456</v>
      </c>
      <c r="P664" s="2">
        <f t="shared" ca="1" si="32"/>
        <v>1</v>
      </c>
    </row>
    <row r="665" spans="1:16" x14ac:dyDescent="0.35">
      <c r="A665" s="2" t="s">
        <v>36</v>
      </c>
      <c r="B665" s="2">
        <v>2889260</v>
      </c>
      <c r="C665" s="2" t="s">
        <v>33</v>
      </c>
      <c r="D665" s="2" t="s">
        <v>23</v>
      </c>
      <c r="E665" s="2" t="s">
        <v>371</v>
      </c>
      <c r="F665" s="6" t="s">
        <v>124</v>
      </c>
      <c r="G665" s="6">
        <v>45632</v>
      </c>
      <c r="I665" s="2" t="s">
        <v>357</v>
      </c>
      <c r="L665" s="2" t="s">
        <v>741</v>
      </c>
      <c r="N665" s="2">
        <f t="shared" ca="1" si="30"/>
        <v>127</v>
      </c>
      <c r="O665" s="6">
        <f t="shared" ca="1" si="31"/>
        <v>45456</v>
      </c>
      <c r="P665" s="2">
        <f t="shared" ca="1" si="32"/>
        <v>1</v>
      </c>
    </row>
    <row r="666" spans="1:16" x14ac:dyDescent="0.35">
      <c r="A666" s="2" t="s">
        <v>38</v>
      </c>
      <c r="B666" s="2">
        <v>2889848</v>
      </c>
      <c r="C666" s="2" t="s">
        <v>33</v>
      </c>
      <c r="D666" s="2" t="s">
        <v>23</v>
      </c>
      <c r="E666" s="2" t="s">
        <v>729</v>
      </c>
      <c r="F666" s="6" t="s">
        <v>124</v>
      </c>
      <c r="G666" s="6">
        <v>45632</v>
      </c>
      <c r="I666" s="2" t="s">
        <v>357</v>
      </c>
      <c r="L666" s="2" t="s">
        <v>742</v>
      </c>
      <c r="N666" s="2">
        <f t="shared" ca="1" si="30"/>
        <v>127</v>
      </c>
      <c r="O666" s="6">
        <f t="shared" ca="1" si="31"/>
        <v>45456</v>
      </c>
      <c r="P666" s="2">
        <f t="shared" ca="1" si="32"/>
        <v>1</v>
      </c>
    </row>
    <row r="667" spans="1:16" x14ac:dyDescent="0.35">
      <c r="A667" s="2" t="s">
        <v>42</v>
      </c>
      <c r="B667" s="2">
        <v>2889913</v>
      </c>
      <c r="C667" s="2" t="s">
        <v>33</v>
      </c>
      <c r="D667" s="2" t="s">
        <v>23</v>
      </c>
      <c r="E667" s="2" t="s">
        <v>743</v>
      </c>
      <c r="F667" s="6" t="s">
        <v>124</v>
      </c>
      <c r="G667" s="6">
        <v>45632</v>
      </c>
      <c r="I667" s="2" t="s">
        <v>357</v>
      </c>
      <c r="L667" s="2" t="s">
        <v>744</v>
      </c>
      <c r="N667" s="2">
        <f t="shared" ca="1" si="30"/>
        <v>127</v>
      </c>
      <c r="O667" s="6">
        <f t="shared" ca="1" si="31"/>
        <v>45456</v>
      </c>
      <c r="P667" s="2">
        <f t="shared" ca="1" si="32"/>
        <v>1</v>
      </c>
    </row>
    <row r="668" spans="1:16" x14ac:dyDescent="0.35">
      <c r="A668" s="2" t="s">
        <v>41</v>
      </c>
      <c r="B668" s="2">
        <v>2890026</v>
      </c>
      <c r="C668" s="2" t="s">
        <v>33</v>
      </c>
      <c r="D668" s="2" t="s">
        <v>356</v>
      </c>
      <c r="E668" s="2" t="s">
        <v>378</v>
      </c>
      <c r="F668" s="6" t="s">
        <v>124</v>
      </c>
      <c r="G668" s="6">
        <v>45632</v>
      </c>
      <c r="I668" s="2" t="s">
        <v>357</v>
      </c>
      <c r="L668" s="2" t="s">
        <v>745</v>
      </c>
      <c r="N668" s="2">
        <f t="shared" ca="1" si="30"/>
        <v>127</v>
      </c>
      <c r="O668" s="6">
        <f t="shared" ca="1" si="31"/>
        <v>45456</v>
      </c>
      <c r="P668" s="2">
        <f t="shared" ca="1" si="32"/>
        <v>1</v>
      </c>
    </row>
    <row r="669" spans="1:16" x14ac:dyDescent="0.35">
      <c r="A669" s="2" t="s">
        <v>43</v>
      </c>
      <c r="B669" s="2">
        <v>2890035</v>
      </c>
      <c r="C669" s="2" t="s">
        <v>33</v>
      </c>
      <c r="D669" s="2" t="s">
        <v>23</v>
      </c>
      <c r="E669" s="2" t="s">
        <v>368</v>
      </c>
      <c r="F669" s="6" t="s">
        <v>124</v>
      </c>
      <c r="G669" s="6">
        <v>45632</v>
      </c>
      <c r="I669" s="2" t="s">
        <v>357</v>
      </c>
      <c r="L669" s="2" t="s">
        <v>746</v>
      </c>
      <c r="N669" s="2">
        <f t="shared" ca="1" si="30"/>
        <v>127</v>
      </c>
      <c r="O669" s="6">
        <f t="shared" ca="1" si="31"/>
        <v>45456</v>
      </c>
      <c r="P669" s="2">
        <f t="shared" ca="1" si="32"/>
        <v>1</v>
      </c>
    </row>
    <row r="670" spans="1:16" x14ac:dyDescent="0.35">
      <c r="A670" s="2" t="s">
        <v>39</v>
      </c>
      <c r="B670" s="2">
        <v>2890066</v>
      </c>
      <c r="C670" s="2" t="s">
        <v>33</v>
      </c>
      <c r="D670" s="2" t="s">
        <v>23</v>
      </c>
      <c r="E670" s="2" t="s">
        <v>368</v>
      </c>
      <c r="F670" s="6" t="s">
        <v>124</v>
      </c>
      <c r="G670" s="6">
        <v>45632</v>
      </c>
      <c r="I670" s="2" t="s">
        <v>357</v>
      </c>
      <c r="L670" s="2" t="s">
        <v>746</v>
      </c>
      <c r="N670" s="2">
        <f t="shared" ca="1" si="30"/>
        <v>127</v>
      </c>
      <c r="O670" s="6">
        <f t="shared" ca="1" si="31"/>
        <v>45456</v>
      </c>
      <c r="P670" s="2">
        <f t="shared" ca="1" si="32"/>
        <v>1</v>
      </c>
    </row>
    <row r="671" spans="1:16" x14ac:dyDescent="0.35">
      <c r="A671" s="2" t="s">
        <v>41</v>
      </c>
      <c r="B671" s="2">
        <v>2890098</v>
      </c>
      <c r="C671" s="2" t="s">
        <v>33</v>
      </c>
      <c r="D671" s="2" t="s">
        <v>356</v>
      </c>
      <c r="E671" s="2" t="s">
        <v>414</v>
      </c>
      <c r="F671" s="6" t="s">
        <v>124</v>
      </c>
      <c r="G671" s="6">
        <v>45632</v>
      </c>
      <c r="I671" s="2" t="s">
        <v>357</v>
      </c>
      <c r="L671" s="2" t="s">
        <v>747</v>
      </c>
      <c r="N671" s="2">
        <f t="shared" ca="1" si="30"/>
        <v>127</v>
      </c>
      <c r="O671" s="6">
        <f t="shared" ca="1" si="31"/>
        <v>45456</v>
      </c>
      <c r="P671" s="2">
        <f t="shared" ca="1" si="32"/>
        <v>1</v>
      </c>
    </row>
    <row r="672" spans="1:16" x14ac:dyDescent="0.35">
      <c r="A672" s="2" t="s">
        <v>60</v>
      </c>
      <c r="B672" s="2">
        <v>2890571</v>
      </c>
      <c r="C672" s="2" t="s">
        <v>33</v>
      </c>
      <c r="D672" s="2" t="s">
        <v>24</v>
      </c>
      <c r="E672" s="2" t="s">
        <v>375</v>
      </c>
      <c r="F672" s="6" t="s">
        <v>74</v>
      </c>
      <c r="G672" s="6">
        <v>45632</v>
      </c>
      <c r="I672" s="2" t="s">
        <v>357</v>
      </c>
      <c r="L672" s="2" t="s">
        <v>748</v>
      </c>
      <c r="N672" s="2">
        <f t="shared" ca="1" si="30"/>
        <v>127</v>
      </c>
      <c r="O672" s="6">
        <f t="shared" ca="1" si="31"/>
        <v>45456</v>
      </c>
      <c r="P672" s="2">
        <f t="shared" ca="1" si="32"/>
        <v>1</v>
      </c>
    </row>
    <row r="673" spans="1:16" x14ac:dyDescent="0.35">
      <c r="A673" s="2" t="s">
        <v>61</v>
      </c>
      <c r="B673" s="2">
        <v>2890578</v>
      </c>
      <c r="C673" s="2" t="s">
        <v>33</v>
      </c>
      <c r="D673" s="2" t="s">
        <v>24</v>
      </c>
      <c r="E673" s="2" t="s">
        <v>370</v>
      </c>
      <c r="F673" s="6" t="s">
        <v>74</v>
      </c>
      <c r="G673" s="6">
        <v>45632</v>
      </c>
      <c r="I673" s="2" t="s">
        <v>357</v>
      </c>
      <c r="L673" s="2" t="s">
        <v>369</v>
      </c>
      <c r="N673" s="2">
        <f t="shared" ca="1" si="30"/>
        <v>127</v>
      </c>
      <c r="O673" s="6">
        <f t="shared" ca="1" si="31"/>
        <v>45456</v>
      </c>
      <c r="P673" s="2">
        <f t="shared" ca="1" si="32"/>
        <v>1</v>
      </c>
    </row>
    <row r="674" spans="1:16" x14ac:dyDescent="0.35">
      <c r="A674" s="2" t="s">
        <v>59</v>
      </c>
      <c r="B674" s="2">
        <v>2890591</v>
      </c>
      <c r="C674" s="2" t="s">
        <v>33</v>
      </c>
      <c r="D674" s="2" t="s">
        <v>24</v>
      </c>
      <c r="E674" s="2" t="s">
        <v>523</v>
      </c>
      <c r="F674" s="6" t="s">
        <v>74</v>
      </c>
      <c r="G674" s="6">
        <v>45632</v>
      </c>
      <c r="I674" s="2" t="s">
        <v>357</v>
      </c>
      <c r="L674" s="2" t="s">
        <v>749</v>
      </c>
      <c r="N674" s="2">
        <f t="shared" ca="1" si="30"/>
        <v>127</v>
      </c>
      <c r="O674" s="6">
        <f t="shared" ca="1" si="31"/>
        <v>45456</v>
      </c>
      <c r="P674" s="2">
        <f t="shared" ca="1" si="32"/>
        <v>1</v>
      </c>
    </row>
    <row r="675" spans="1:16" x14ac:dyDescent="0.35">
      <c r="A675" s="2" t="s">
        <v>41</v>
      </c>
      <c r="B675" s="2">
        <v>2890723</v>
      </c>
      <c r="C675" s="2" t="s">
        <v>33</v>
      </c>
      <c r="D675" s="2" t="s">
        <v>356</v>
      </c>
      <c r="E675" s="2" t="s">
        <v>365</v>
      </c>
      <c r="F675" s="6" t="s">
        <v>74</v>
      </c>
      <c r="G675" s="6">
        <v>45632</v>
      </c>
      <c r="I675" s="2" t="s">
        <v>357</v>
      </c>
      <c r="L675" s="2" t="s">
        <v>526</v>
      </c>
      <c r="N675" s="2">
        <f t="shared" ca="1" si="30"/>
        <v>127</v>
      </c>
      <c r="O675" s="6">
        <f t="shared" ca="1" si="31"/>
        <v>45456</v>
      </c>
      <c r="P675" s="2">
        <f t="shared" ca="1" si="32"/>
        <v>1</v>
      </c>
    </row>
    <row r="676" spans="1:16" x14ac:dyDescent="0.35">
      <c r="A676" s="2" t="s">
        <v>41</v>
      </c>
      <c r="B676" s="2">
        <v>2890736</v>
      </c>
      <c r="C676" s="2" t="s">
        <v>33</v>
      </c>
      <c r="D676" s="2" t="s">
        <v>356</v>
      </c>
      <c r="E676" s="2" t="s">
        <v>365</v>
      </c>
      <c r="F676" s="6" t="s">
        <v>74</v>
      </c>
      <c r="G676" s="6">
        <v>45632</v>
      </c>
      <c r="I676" s="2" t="s">
        <v>357</v>
      </c>
      <c r="L676" s="2" t="s">
        <v>750</v>
      </c>
      <c r="N676" s="2">
        <f t="shared" ca="1" si="30"/>
        <v>127</v>
      </c>
      <c r="O676" s="6">
        <f t="shared" ca="1" si="31"/>
        <v>45456</v>
      </c>
      <c r="P676" s="2">
        <f t="shared" ca="1" si="32"/>
        <v>1</v>
      </c>
    </row>
    <row r="677" spans="1:16" x14ac:dyDescent="0.35">
      <c r="A677" s="2" t="s">
        <v>41</v>
      </c>
      <c r="B677" s="2">
        <v>2890768</v>
      </c>
      <c r="C677" s="2" t="s">
        <v>33</v>
      </c>
      <c r="D677" s="2" t="s">
        <v>356</v>
      </c>
      <c r="E677" s="2" t="s">
        <v>365</v>
      </c>
      <c r="F677" s="6" t="s">
        <v>74</v>
      </c>
      <c r="G677" s="6">
        <v>45632</v>
      </c>
      <c r="I677" s="2" t="s">
        <v>357</v>
      </c>
      <c r="L677" s="2" t="s">
        <v>751</v>
      </c>
      <c r="N677" s="2">
        <f t="shared" ca="1" si="30"/>
        <v>127</v>
      </c>
      <c r="O677" s="6">
        <f t="shared" ca="1" si="31"/>
        <v>45456</v>
      </c>
      <c r="P677" s="2">
        <f t="shared" ca="1" si="32"/>
        <v>1</v>
      </c>
    </row>
    <row r="678" spans="1:16" x14ac:dyDescent="0.35">
      <c r="A678" s="2" t="s">
        <v>41</v>
      </c>
      <c r="B678" s="2">
        <v>2890808</v>
      </c>
      <c r="C678" s="2" t="s">
        <v>33</v>
      </c>
      <c r="D678" s="2" t="s">
        <v>356</v>
      </c>
      <c r="E678" s="2" t="s">
        <v>365</v>
      </c>
      <c r="F678" s="6" t="s">
        <v>74</v>
      </c>
      <c r="G678" s="6">
        <v>45632</v>
      </c>
      <c r="I678" s="2" t="s">
        <v>357</v>
      </c>
      <c r="L678" s="2" t="s">
        <v>516</v>
      </c>
      <c r="N678" s="2">
        <f t="shared" ca="1" si="30"/>
        <v>127</v>
      </c>
      <c r="O678" s="6">
        <f t="shared" ca="1" si="31"/>
        <v>45456</v>
      </c>
      <c r="P678" s="2">
        <f t="shared" ca="1" si="32"/>
        <v>1</v>
      </c>
    </row>
    <row r="679" spans="1:16" x14ac:dyDescent="0.35">
      <c r="A679" s="2" t="s">
        <v>41</v>
      </c>
      <c r="B679" s="2">
        <v>2890855</v>
      </c>
      <c r="C679" s="2" t="s">
        <v>33</v>
      </c>
      <c r="D679" s="2" t="s">
        <v>356</v>
      </c>
      <c r="E679" s="2" t="s">
        <v>365</v>
      </c>
      <c r="F679" s="6" t="s">
        <v>74</v>
      </c>
      <c r="G679" s="6">
        <v>45632</v>
      </c>
      <c r="I679" s="2" t="s">
        <v>357</v>
      </c>
      <c r="L679" s="2" t="s">
        <v>516</v>
      </c>
      <c r="N679" s="2">
        <f t="shared" ca="1" si="30"/>
        <v>127</v>
      </c>
      <c r="O679" s="6">
        <f t="shared" ca="1" si="31"/>
        <v>45456</v>
      </c>
      <c r="P679" s="2">
        <f t="shared" ca="1" si="32"/>
        <v>1</v>
      </c>
    </row>
    <row r="680" spans="1:16" x14ac:dyDescent="0.35">
      <c r="A680" s="2" t="s">
        <v>37</v>
      </c>
      <c r="B680" s="2">
        <v>2890879</v>
      </c>
      <c r="C680" s="2" t="s">
        <v>33</v>
      </c>
      <c r="D680" s="2" t="s">
        <v>23</v>
      </c>
      <c r="E680" s="2" t="s">
        <v>411</v>
      </c>
      <c r="F680" s="6" t="s">
        <v>74</v>
      </c>
      <c r="G680" s="6">
        <v>45602</v>
      </c>
      <c r="I680" s="2" t="s">
        <v>357</v>
      </c>
      <c r="L680" s="2" t="s">
        <v>525</v>
      </c>
      <c r="N680" s="2">
        <f t="shared" ca="1" si="30"/>
        <v>105</v>
      </c>
      <c r="O680" s="6">
        <f t="shared" ca="1" si="31"/>
        <v>45456</v>
      </c>
      <c r="P680" s="2">
        <f t="shared" ca="1" si="32"/>
        <v>1</v>
      </c>
    </row>
    <row r="681" spans="1:16" x14ac:dyDescent="0.35">
      <c r="A681" s="2" t="s">
        <v>40</v>
      </c>
      <c r="B681" s="2">
        <v>2890962</v>
      </c>
      <c r="C681" s="2" t="s">
        <v>33</v>
      </c>
      <c r="D681" s="2" t="s">
        <v>23</v>
      </c>
      <c r="E681" s="2" t="s">
        <v>368</v>
      </c>
      <c r="F681" s="6" t="s">
        <v>74</v>
      </c>
      <c r="G681" s="6">
        <v>45632</v>
      </c>
      <c r="I681" s="2" t="s">
        <v>357</v>
      </c>
      <c r="L681" s="2" t="s">
        <v>752</v>
      </c>
      <c r="N681" s="2">
        <f t="shared" ca="1" si="30"/>
        <v>127</v>
      </c>
      <c r="O681" s="6">
        <f t="shared" ca="1" si="31"/>
        <v>45456</v>
      </c>
      <c r="P681" s="2">
        <f t="shared" ca="1" si="32"/>
        <v>1</v>
      </c>
    </row>
    <row r="682" spans="1:16" x14ac:dyDescent="0.35">
      <c r="A682" s="2" t="s">
        <v>41</v>
      </c>
      <c r="B682" s="2">
        <v>2890966</v>
      </c>
      <c r="C682" s="2" t="s">
        <v>33</v>
      </c>
      <c r="D682" s="2" t="s">
        <v>356</v>
      </c>
      <c r="E682" s="2" t="s">
        <v>365</v>
      </c>
      <c r="F682" s="6" t="s">
        <v>74</v>
      </c>
      <c r="G682" s="6">
        <v>45632</v>
      </c>
      <c r="I682" s="2" t="s">
        <v>357</v>
      </c>
      <c r="L682" s="2" t="s">
        <v>753</v>
      </c>
      <c r="N682" s="2">
        <f t="shared" ca="1" si="30"/>
        <v>127</v>
      </c>
      <c r="O682" s="6">
        <f t="shared" ca="1" si="31"/>
        <v>45456</v>
      </c>
      <c r="P682" s="2">
        <f t="shared" ca="1" si="32"/>
        <v>1</v>
      </c>
    </row>
    <row r="683" spans="1:16" x14ac:dyDescent="0.35">
      <c r="A683" s="2" t="s">
        <v>36</v>
      </c>
      <c r="B683" s="2">
        <v>2891026</v>
      </c>
      <c r="C683" s="2" t="s">
        <v>33</v>
      </c>
      <c r="D683" s="2" t="s">
        <v>23</v>
      </c>
      <c r="E683" s="2" t="s">
        <v>729</v>
      </c>
      <c r="F683" s="6" t="s">
        <v>74</v>
      </c>
      <c r="G683" s="6">
        <v>45632</v>
      </c>
      <c r="I683" s="2" t="s">
        <v>357</v>
      </c>
      <c r="L683" s="2" t="s">
        <v>754</v>
      </c>
      <c r="N683" s="2">
        <f t="shared" ca="1" si="30"/>
        <v>127</v>
      </c>
      <c r="O683" s="6">
        <f t="shared" ca="1" si="31"/>
        <v>45456</v>
      </c>
      <c r="P683" s="2">
        <f t="shared" ca="1" si="32"/>
        <v>1</v>
      </c>
    </row>
    <row r="684" spans="1:16" x14ac:dyDescent="0.35">
      <c r="A684" s="2" t="s">
        <v>41</v>
      </c>
      <c r="B684" s="2">
        <v>2891132</v>
      </c>
      <c r="C684" s="2" t="s">
        <v>33</v>
      </c>
      <c r="D684" s="2" t="s">
        <v>356</v>
      </c>
      <c r="E684" s="2" t="s">
        <v>527</v>
      </c>
      <c r="F684" s="6" t="s">
        <v>74</v>
      </c>
      <c r="G684" s="6">
        <v>45632</v>
      </c>
      <c r="I684" s="2" t="s">
        <v>357</v>
      </c>
      <c r="L684" s="2" t="s">
        <v>528</v>
      </c>
      <c r="N684" s="2">
        <f t="shared" ca="1" si="30"/>
        <v>127</v>
      </c>
      <c r="O684" s="6">
        <f t="shared" ca="1" si="31"/>
        <v>45456</v>
      </c>
      <c r="P684" s="2">
        <f t="shared" ca="1" si="32"/>
        <v>1</v>
      </c>
    </row>
    <row r="685" spans="1:16" x14ac:dyDescent="0.35">
      <c r="A685" s="2" t="s">
        <v>38</v>
      </c>
      <c r="B685" s="2">
        <v>2891139</v>
      </c>
      <c r="C685" s="2" t="s">
        <v>33</v>
      </c>
      <c r="D685" s="2" t="s">
        <v>23</v>
      </c>
      <c r="E685" s="2" t="s">
        <v>521</v>
      </c>
      <c r="F685" s="6" t="s">
        <v>74</v>
      </c>
      <c r="G685" s="6">
        <v>45632</v>
      </c>
      <c r="I685" s="2" t="s">
        <v>357</v>
      </c>
      <c r="L685" s="2" t="s">
        <v>755</v>
      </c>
      <c r="N685" s="2">
        <f t="shared" ca="1" si="30"/>
        <v>127</v>
      </c>
      <c r="O685" s="6">
        <f t="shared" ca="1" si="31"/>
        <v>45456</v>
      </c>
      <c r="P685" s="2">
        <f t="shared" ca="1" si="32"/>
        <v>1</v>
      </c>
    </row>
    <row r="686" spans="1:16" x14ac:dyDescent="0.35">
      <c r="A686" s="2" t="s">
        <v>42</v>
      </c>
      <c r="B686" s="2">
        <v>2891184</v>
      </c>
      <c r="C686" s="2" t="s">
        <v>33</v>
      </c>
      <c r="D686" s="2" t="s">
        <v>23</v>
      </c>
      <c r="E686" s="2" t="s">
        <v>381</v>
      </c>
      <c r="F686" s="6" t="s">
        <v>74</v>
      </c>
      <c r="G686" s="6">
        <v>45632</v>
      </c>
      <c r="I686" s="2" t="s">
        <v>357</v>
      </c>
      <c r="L686" s="2" t="s">
        <v>529</v>
      </c>
      <c r="N686" s="2">
        <f t="shared" ca="1" si="30"/>
        <v>127</v>
      </c>
      <c r="O686" s="6">
        <f t="shared" ca="1" si="31"/>
        <v>45456</v>
      </c>
      <c r="P686" s="2">
        <f t="shared" ca="1" si="32"/>
        <v>1</v>
      </c>
    </row>
    <row r="687" spans="1:16" x14ac:dyDescent="0.35">
      <c r="A687" s="2" t="s">
        <v>43</v>
      </c>
      <c r="B687" s="2">
        <v>2891240</v>
      </c>
      <c r="C687" s="2" t="s">
        <v>33</v>
      </c>
      <c r="D687" s="2" t="s">
        <v>24</v>
      </c>
      <c r="E687" s="2" t="s">
        <v>375</v>
      </c>
      <c r="F687" s="6" t="s">
        <v>74</v>
      </c>
      <c r="G687" s="6">
        <v>45632</v>
      </c>
      <c r="I687" s="2" t="s">
        <v>357</v>
      </c>
      <c r="L687" s="2" t="s">
        <v>376</v>
      </c>
      <c r="N687" s="2">
        <f t="shared" ca="1" si="30"/>
        <v>127</v>
      </c>
      <c r="O687" s="6">
        <f t="shared" ca="1" si="31"/>
        <v>45456</v>
      </c>
      <c r="P687" s="2">
        <f t="shared" ca="1" si="32"/>
        <v>1</v>
      </c>
    </row>
    <row r="688" spans="1:16" x14ac:dyDescent="0.35">
      <c r="A688" s="2" t="s">
        <v>39</v>
      </c>
      <c r="B688" s="2">
        <v>2891383</v>
      </c>
      <c r="C688" s="2" t="s">
        <v>33</v>
      </c>
      <c r="D688" s="2" t="s">
        <v>23</v>
      </c>
      <c r="E688" s="2" t="s">
        <v>519</v>
      </c>
      <c r="F688" s="6" t="s">
        <v>74</v>
      </c>
      <c r="G688" s="6">
        <v>45632</v>
      </c>
      <c r="I688" s="2" t="s">
        <v>357</v>
      </c>
      <c r="L688" s="2" t="s">
        <v>524</v>
      </c>
      <c r="N688" s="2">
        <f t="shared" ca="1" si="30"/>
        <v>127</v>
      </c>
      <c r="O688" s="6">
        <f t="shared" ca="1" si="31"/>
        <v>45456</v>
      </c>
      <c r="P688" s="2">
        <f t="shared" ca="1" si="32"/>
        <v>1</v>
      </c>
    </row>
    <row r="689" spans="1:16" x14ac:dyDescent="0.35">
      <c r="A689" s="2" t="s">
        <v>60</v>
      </c>
      <c r="B689" s="2">
        <v>2891420</v>
      </c>
      <c r="C689" s="2" t="s">
        <v>33</v>
      </c>
      <c r="D689" s="2" t="s">
        <v>23</v>
      </c>
      <c r="E689" s="2" t="s">
        <v>519</v>
      </c>
      <c r="F689" s="6" t="s">
        <v>74</v>
      </c>
      <c r="G689" s="6">
        <v>45632</v>
      </c>
      <c r="I689" s="2" t="s">
        <v>357</v>
      </c>
      <c r="L689" s="2" t="s">
        <v>524</v>
      </c>
      <c r="N689" s="2">
        <f t="shared" ca="1" si="30"/>
        <v>127</v>
      </c>
      <c r="O689" s="6">
        <f t="shared" ca="1" si="31"/>
        <v>45456</v>
      </c>
      <c r="P689" s="2">
        <f t="shared" ca="1" si="32"/>
        <v>1</v>
      </c>
    </row>
    <row r="690" spans="1:16" x14ac:dyDescent="0.35">
      <c r="A690" s="2" t="s">
        <v>41</v>
      </c>
      <c r="B690" s="2">
        <v>2891427</v>
      </c>
      <c r="C690" s="2" t="s">
        <v>33</v>
      </c>
      <c r="D690" s="2" t="s">
        <v>356</v>
      </c>
      <c r="E690" s="2" t="s">
        <v>530</v>
      </c>
      <c r="F690" s="6" t="s">
        <v>74</v>
      </c>
      <c r="G690" s="6">
        <v>45632</v>
      </c>
      <c r="I690" s="2" t="s">
        <v>357</v>
      </c>
      <c r="L690" s="2" t="s">
        <v>756</v>
      </c>
      <c r="N690" s="2">
        <f t="shared" ca="1" si="30"/>
        <v>127</v>
      </c>
      <c r="O690" s="6">
        <f t="shared" ca="1" si="31"/>
        <v>45456</v>
      </c>
      <c r="P690" s="2">
        <f t="shared" ca="1" si="32"/>
        <v>1</v>
      </c>
    </row>
    <row r="691" spans="1:16" x14ac:dyDescent="0.35">
      <c r="A691" s="2" t="s">
        <v>61</v>
      </c>
      <c r="B691" s="2">
        <v>2891454</v>
      </c>
      <c r="C691" s="2" t="s">
        <v>33</v>
      </c>
      <c r="D691" s="2" t="s">
        <v>23</v>
      </c>
      <c r="E691" s="2" t="s">
        <v>519</v>
      </c>
      <c r="F691" s="6" t="s">
        <v>74</v>
      </c>
      <c r="G691" s="6">
        <v>45632</v>
      </c>
      <c r="I691" s="2" t="s">
        <v>357</v>
      </c>
      <c r="L691" s="2" t="s">
        <v>524</v>
      </c>
      <c r="N691" s="2">
        <f t="shared" ca="1" si="30"/>
        <v>127</v>
      </c>
      <c r="O691" s="6">
        <f t="shared" ca="1" si="31"/>
        <v>45456</v>
      </c>
      <c r="P691" s="2">
        <f t="shared" ca="1" si="32"/>
        <v>1</v>
      </c>
    </row>
    <row r="692" spans="1:16" x14ac:dyDescent="0.35">
      <c r="A692" s="2" t="s">
        <v>59</v>
      </c>
      <c r="B692" s="2">
        <v>2891481</v>
      </c>
      <c r="C692" s="2" t="s">
        <v>33</v>
      </c>
      <c r="D692" s="2" t="s">
        <v>23</v>
      </c>
      <c r="E692" s="2" t="s">
        <v>519</v>
      </c>
      <c r="F692" s="6" t="s">
        <v>74</v>
      </c>
      <c r="G692" s="6">
        <v>45632</v>
      </c>
      <c r="I692" s="2" t="s">
        <v>357</v>
      </c>
      <c r="L692" s="2" t="s">
        <v>520</v>
      </c>
      <c r="N692" s="2">
        <f t="shared" ca="1" si="30"/>
        <v>127</v>
      </c>
      <c r="O692" s="6">
        <f t="shared" ca="1" si="31"/>
        <v>45456</v>
      </c>
      <c r="P692" s="2">
        <f t="shared" ca="1" si="32"/>
        <v>1</v>
      </c>
    </row>
    <row r="693" spans="1:16" x14ac:dyDescent="0.35">
      <c r="A693" s="2" t="s">
        <v>37</v>
      </c>
      <c r="B693" s="2">
        <v>2891518</v>
      </c>
      <c r="C693" s="2" t="s">
        <v>33</v>
      </c>
      <c r="D693" s="2" t="s">
        <v>23</v>
      </c>
      <c r="E693" s="2" t="s">
        <v>519</v>
      </c>
      <c r="F693" s="6" t="s">
        <v>74</v>
      </c>
      <c r="G693" s="6">
        <v>45632</v>
      </c>
      <c r="I693" s="2" t="s">
        <v>357</v>
      </c>
      <c r="L693" s="2" t="s">
        <v>757</v>
      </c>
      <c r="N693" s="2">
        <f t="shared" ca="1" si="30"/>
        <v>127</v>
      </c>
      <c r="O693" s="6">
        <f t="shared" ca="1" si="31"/>
        <v>45456</v>
      </c>
      <c r="P693" s="2">
        <f t="shared" ca="1" si="32"/>
        <v>1</v>
      </c>
    </row>
    <row r="694" spans="1:16" x14ac:dyDescent="0.35">
      <c r="A694" s="2" t="s">
        <v>41</v>
      </c>
      <c r="B694" s="2">
        <v>2891576</v>
      </c>
      <c r="C694" s="2" t="s">
        <v>33</v>
      </c>
      <c r="D694" s="2" t="s">
        <v>356</v>
      </c>
      <c r="E694" s="2" t="s">
        <v>758</v>
      </c>
      <c r="F694" s="6" t="s">
        <v>74</v>
      </c>
      <c r="G694" s="6">
        <v>45632</v>
      </c>
      <c r="I694" s="2" t="s">
        <v>357</v>
      </c>
      <c r="L694" s="2" t="s">
        <v>759</v>
      </c>
      <c r="N694" s="2">
        <f t="shared" ca="1" si="30"/>
        <v>127</v>
      </c>
      <c r="O694" s="6">
        <f t="shared" ca="1" si="31"/>
        <v>45456</v>
      </c>
      <c r="P694" s="2">
        <f t="shared" ca="1" si="32"/>
        <v>1</v>
      </c>
    </row>
    <row r="695" spans="1:16" x14ac:dyDescent="0.35">
      <c r="A695" s="2" t="s">
        <v>41</v>
      </c>
      <c r="B695" s="2">
        <v>2891668</v>
      </c>
      <c r="C695" s="2" t="s">
        <v>33</v>
      </c>
      <c r="D695" s="2" t="s">
        <v>356</v>
      </c>
      <c r="E695" s="2" t="s">
        <v>383</v>
      </c>
      <c r="F695" s="6" t="s">
        <v>74</v>
      </c>
      <c r="G695" s="6">
        <v>45632</v>
      </c>
      <c r="I695" s="2" t="s">
        <v>357</v>
      </c>
      <c r="L695" s="2" t="s">
        <v>760</v>
      </c>
      <c r="N695" s="2">
        <f t="shared" ca="1" si="30"/>
        <v>127</v>
      </c>
      <c r="O695" s="6">
        <f t="shared" ca="1" si="31"/>
        <v>45456</v>
      </c>
      <c r="P695" s="2">
        <f t="shared" ca="1" si="32"/>
        <v>1</v>
      </c>
    </row>
    <row r="696" spans="1:16" x14ac:dyDescent="0.35">
      <c r="A696" s="2" t="s">
        <v>41</v>
      </c>
      <c r="B696" s="2">
        <v>2891673</v>
      </c>
      <c r="C696" s="2" t="s">
        <v>33</v>
      </c>
      <c r="D696" s="2" t="s">
        <v>356</v>
      </c>
      <c r="E696" s="2" t="s">
        <v>758</v>
      </c>
      <c r="F696" s="6" t="s">
        <v>74</v>
      </c>
      <c r="G696" s="6">
        <v>45632</v>
      </c>
      <c r="I696" s="2" t="s">
        <v>357</v>
      </c>
      <c r="L696" s="2" t="s">
        <v>761</v>
      </c>
      <c r="N696" s="2">
        <f t="shared" ca="1" si="30"/>
        <v>127</v>
      </c>
      <c r="O696" s="6">
        <f t="shared" ca="1" si="31"/>
        <v>45456</v>
      </c>
      <c r="P696" s="2">
        <f t="shared" ca="1" si="32"/>
        <v>1</v>
      </c>
    </row>
    <row r="697" spans="1:16" x14ac:dyDescent="0.35">
      <c r="A697" s="2" t="s">
        <v>41</v>
      </c>
      <c r="B697" s="2">
        <v>2891685</v>
      </c>
      <c r="C697" s="2" t="s">
        <v>33</v>
      </c>
      <c r="D697" s="2" t="s">
        <v>356</v>
      </c>
      <c r="E697" s="2" t="s">
        <v>758</v>
      </c>
      <c r="F697" s="6" t="s">
        <v>74</v>
      </c>
      <c r="G697" s="6">
        <v>45632</v>
      </c>
      <c r="I697" s="2" t="s">
        <v>357</v>
      </c>
      <c r="L697" s="2" t="s">
        <v>762</v>
      </c>
      <c r="N697" s="2">
        <f t="shared" ca="1" si="30"/>
        <v>127</v>
      </c>
      <c r="O697" s="6">
        <f t="shared" ca="1" si="31"/>
        <v>45456</v>
      </c>
      <c r="P697" s="2">
        <f t="shared" ca="1" si="32"/>
        <v>1</v>
      </c>
    </row>
    <row r="698" spans="1:16" x14ac:dyDescent="0.35">
      <c r="A698" s="2" t="s">
        <v>40</v>
      </c>
      <c r="B698" s="2">
        <v>2891873</v>
      </c>
      <c r="C698" s="2" t="s">
        <v>33</v>
      </c>
      <c r="D698" s="2" t="s">
        <v>23</v>
      </c>
      <c r="E698" s="2" t="s">
        <v>763</v>
      </c>
      <c r="F698" s="6" t="s">
        <v>74</v>
      </c>
      <c r="G698" s="6">
        <v>45632</v>
      </c>
      <c r="I698" s="2" t="s">
        <v>357</v>
      </c>
      <c r="L698" s="2" t="s">
        <v>764</v>
      </c>
      <c r="N698" s="2">
        <f t="shared" ca="1" si="30"/>
        <v>127</v>
      </c>
      <c r="O698" s="6">
        <f t="shared" ca="1" si="31"/>
        <v>45456</v>
      </c>
      <c r="P698" s="2">
        <f t="shared" ca="1" si="32"/>
        <v>1</v>
      </c>
    </row>
    <row r="699" spans="1:16" x14ac:dyDescent="0.35">
      <c r="A699" s="2" t="s">
        <v>41</v>
      </c>
      <c r="B699" s="2">
        <v>2891893</v>
      </c>
      <c r="C699" s="2" t="s">
        <v>33</v>
      </c>
      <c r="D699" s="2" t="s">
        <v>356</v>
      </c>
      <c r="E699" s="2" t="s">
        <v>458</v>
      </c>
      <c r="F699" s="6" t="s">
        <v>74</v>
      </c>
      <c r="G699" s="6">
        <v>45632</v>
      </c>
      <c r="I699" s="2" t="s">
        <v>357</v>
      </c>
      <c r="L699" s="2" t="s">
        <v>765</v>
      </c>
      <c r="N699" s="2">
        <f t="shared" ca="1" si="30"/>
        <v>127</v>
      </c>
      <c r="O699" s="6">
        <f t="shared" ca="1" si="31"/>
        <v>45456</v>
      </c>
      <c r="P699" s="2">
        <f t="shared" ca="1" si="32"/>
        <v>1</v>
      </c>
    </row>
    <row r="700" spans="1:16" x14ac:dyDescent="0.35">
      <c r="A700" s="2" t="s">
        <v>36</v>
      </c>
      <c r="B700" s="2">
        <v>2891921</v>
      </c>
      <c r="C700" s="2" t="s">
        <v>33</v>
      </c>
      <c r="D700" s="2" t="s">
        <v>23</v>
      </c>
      <c r="E700" s="2" t="s">
        <v>763</v>
      </c>
      <c r="F700" s="6" t="s">
        <v>74</v>
      </c>
      <c r="G700" s="6">
        <v>45632</v>
      </c>
      <c r="I700" s="2" t="s">
        <v>357</v>
      </c>
      <c r="L700" s="2" t="s">
        <v>764</v>
      </c>
      <c r="N700" s="2">
        <f t="shared" ca="1" si="30"/>
        <v>127</v>
      </c>
      <c r="O700" s="6">
        <f t="shared" ca="1" si="31"/>
        <v>45456</v>
      </c>
      <c r="P700" s="2">
        <f t="shared" ca="1" si="32"/>
        <v>1</v>
      </c>
    </row>
    <row r="701" spans="1:16" x14ac:dyDescent="0.35">
      <c r="A701" s="2" t="s">
        <v>41</v>
      </c>
      <c r="B701" s="2">
        <v>2891983</v>
      </c>
      <c r="C701" s="2" t="s">
        <v>33</v>
      </c>
      <c r="D701" s="2" t="s">
        <v>356</v>
      </c>
      <c r="E701" s="2" t="s">
        <v>365</v>
      </c>
      <c r="F701" s="6" t="s">
        <v>74</v>
      </c>
      <c r="G701" s="6">
        <v>45632</v>
      </c>
      <c r="I701" s="2" t="s">
        <v>357</v>
      </c>
      <c r="L701" s="2" t="s">
        <v>518</v>
      </c>
      <c r="N701" s="2">
        <f t="shared" ca="1" si="30"/>
        <v>127</v>
      </c>
      <c r="O701" s="6">
        <f t="shared" ca="1" si="31"/>
        <v>45456</v>
      </c>
      <c r="P701" s="2">
        <f t="shared" ca="1" si="32"/>
        <v>1</v>
      </c>
    </row>
    <row r="702" spans="1:16" x14ac:dyDescent="0.35">
      <c r="A702" s="2" t="s">
        <v>41</v>
      </c>
      <c r="B702" s="2">
        <v>2891987</v>
      </c>
      <c r="C702" s="2" t="s">
        <v>33</v>
      </c>
      <c r="D702" s="2" t="s">
        <v>356</v>
      </c>
      <c r="E702" s="2" t="s">
        <v>378</v>
      </c>
      <c r="F702" s="6" t="s">
        <v>74</v>
      </c>
      <c r="G702" s="6">
        <v>45632</v>
      </c>
      <c r="I702" s="2" t="s">
        <v>357</v>
      </c>
      <c r="L702" s="2" t="s">
        <v>379</v>
      </c>
      <c r="N702" s="2">
        <f t="shared" ca="1" si="30"/>
        <v>127</v>
      </c>
      <c r="O702" s="6">
        <f t="shared" ca="1" si="31"/>
        <v>45456</v>
      </c>
      <c r="P702" s="2">
        <f t="shared" ca="1" si="32"/>
        <v>1</v>
      </c>
    </row>
    <row r="703" spans="1:16" x14ac:dyDescent="0.35">
      <c r="A703" s="2" t="s">
        <v>38</v>
      </c>
      <c r="B703" s="2">
        <v>2892077</v>
      </c>
      <c r="C703" s="2" t="s">
        <v>33</v>
      </c>
      <c r="D703" s="2" t="s">
        <v>23</v>
      </c>
      <c r="E703" s="2" t="s">
        <v>372</v>
      </c>
      <c r="F703" s="6" t="s">
        <v>74</v>
      </c>
      <c r="G703" s="6">
        <v>45632</v>
      </c>
      <c r="I703" s="2" t="s">
        <v>357</v>
      </c>
      <c r="L703" s="2" t="s">
        <v>373</v>
      </c>
      <c r="N703" s="2">
        <f t="shared" ca="1" si="30"/>
        <v>127</v>
      </c>
      <c r="O703" s="6">
        <f t="shared" ca="1" si="31"/>
        <v>45456</v>
      </c>
      <c r="P703" s="2">
        <f t="shared" ca="1" si="32"/>
        <v>1</v>
      </c>
    </row>
    <row r="704" spans="1:16" x14ac:dyDescent="0.35">
      <c r="A704" s="2" t="s">
        <v>42</v>
      </c>
      <c r="B704" s="2">
        <v>2892130</v>
      </c>
      <c r="C704" s="2" t="s">
        <v>33</v>
      </c>
      <c r="D704" s="2" t="s">
        <v>23</v>
      </c>
      <c r="E704" s="2" t="s">
        <v>377</v>
      </c>
      <c r="F704" s="6" t="s">
        <v>74</v>
      </c>
      <c r="G704" s="6">
        <v>45632</v>
      </c>
      <c r="I704" s="2" t="s">
        <v>357</v>
      </c>
      <c r="L704" s="2" t="s">
        <v>766</v>
      </c>
      <c r="N704" s="2">
        <f t="shared" ca="1" si="30"/>
        <v>127</v>
      </c>
      <c r="O704" s="6">
        <f t="shared" ca="1" si="31"/>
        <v>45456</v>
      </c>
      <c r="P704" s="2">
        <f t="shared" ca="1" si="32"/>
        <v>1</v>
      </c>
    </row>
    <row r="705" spans="1:16" x14ac:dyDescent="0.35">
      <c r="A705" s="2" t="s">
        <v>43</v>
      </c>
      <c r="B705" s="2">
        <v>2892148</v>
      </c>
      <c r="C705" s="2" t="s">
        <v>33</v>
      </c>
      <c r="D705" s="2" t="s">
        <v>23</v>
      </c>
      <c r="E705" s="2" t="s">
        <v>511</v>
      </c>
      <c r="F705" s="6" t="s">
        <v>74</v>
      </c>
      <c r="G705" s="6">
        <v>45632</v>
      </c>
      <c r="I705" s="2" t="s">
        <v>357</v>
      </c>
      <c r="L705" s="2" t="s">
        <v>522</v>
      </c>
      <c r="N705" s="2">
        <f t="shared" ca="1" si="30"/>
        <v>127</v>
      </c>
      <c r="O705" s="6">
        <f t="shared" ca="1" si="31"/>
        <v>45456</v>
      </c>
      <c r="P705" s="2">
        <f t="shared" ca="1" si="32"/>
        <v>1</v>
      </c>
    </row>
    <row r="706" spans="1:16" x14ac:dyDescent="0.35">
      <c r="A706" s="2" t="s">
        <v>39</v>
      </c>
      <c r="B706" s="2">
        <v>2892187</v>
      </c>
      <c r="C706" s="2" t="s">
        <v>33</v>
      </c>
      <c r="D706" s="2" t="s">
        <v>23</v>
      </c>
      <c r="E706" s="2" t="s">
        <v>381</v>
      </c>
      <c r="F706" s="6" t="s">
        <v>74</v>
      </c>
      <c r="G706" s="6">
        <v>45632</v>
      </c>
      <c r="I706" s="2" t="s">
        <v>357</v>
      </c>
      <c r="L706" s="2" t="s">
        <v>767</v>
      </c>
      <c r="N706" s="2">
        <f t="shared" ca="1" si="30"/>
        <v>127</v>
      </c>
      <c r="O706" s="6">
        <f t="shared" ca="1" si="31"/>
        <v>45456</v>
      </c>
      <c r="P706" s="2">
        <f t="shared" ca="1" si="32"/>
        <v>1</v>
      </c>
    </row>
    <row r="707" spans="1:16" x14ac:dyDescent="0.35">
      <c r="A707" s="2" t="s">
        <v>41</v>
      </c>
      <c r="B707" s="2">
        <v>2892237</v>
      </c>
      <c r="C707" s="2" t="s">
        <v>33</v>
      </c>
      <c r="D707" s="2" t="s">
        <v>356</v>
      </c>
      <c r="E707" s="2" t="s">
        <v>768</v>
      </c>
      <c r="F707" s="6" t="s">
        <v>74</v>
      </c>
      <c r="G707" s="6">
        <v>45632</v>
      </c>
      <c r="I707" s="2" t="s">
        <v>357</v>
      </c>
      <c r="L707" s="2" t="s">
        <v>769</v>
      </c>
      <c r="N707" s="2">
        <f t="shared" ref="N707:N773" ca="1" si="33">IF(G707 &lt; TODAY(), -NETWORKDAYS(G707, TODAY()), NETWORKDAYS(TODAY(), G707))</f>
        <v>127</v>
      </c>
      <c r="O707" s="6">
        <f t="shared" ref="O707:O773" ca="1" si="34">TODAY()</f>
        <v>45456</v>
      </c>
      <c r="P707" s="2">
        <f t="shared" ref="P707:P770" ca="1" si="35">NETWORKDAYS(O707,TODAY())</f>
        <v>1</v>
      </c>
    </row>
    <row r="708" spans="1:16" x14ac:dyDescent="0.35">
      <c r="A708" s="2" t="s">
        <v>60</v>
      </c>
      <c r="B708" s="2">
        <v>2892260</v>
      </c>
      <c r="C708" s="2" t="s">
        <v>33</v>
      </c>
      <c r="D708" s="2" t="s">
        <v>23</v>
      </c>
      <c r="E708" s="2" t="s">
        <v>519</v>
      </c>
      <c r="F708" s="6" t="s">
        <v>74</v>
      </c>
      <c r="G708" s="6">
        <v>45632</v>
      </c>
      <c r="I708" s="2" t="s">
        <v>357</v>
      </c>
      <c r="L708" s="2" t="s">
        <v>770</v>
      </c>
      <c r="N708" s="2">
        <f t="shared" ca="1" si="33"/>
        <v>127</v>
      </c>
      <c r="O708" s="6">
        <f t="shared" ca="1" si="34"/>
        <v>45456</v>
      </c>
      <c r="P708" s="2">
        <f t="shared" ca="1" si="35"/>
        <v>1</v>
      </c>
    </row>
    <row r="709" spans="1:16" x14ac:dyDescent="0.35">
      <c r="A709" s="2" t="s">
        <v>61</v>
      </c>
      <c r="B709" s="2">
        <v>2892480</v>
      </c>
      <c r="C709" s="2" t="s">
        <v>33</v>
      </c>
      <c r="D709" s="2" t="s">
        <v>23</v>
      </c>
      <c r="E709" s="2" t="s">
        <v>378</v>
      </c>
      <c r="F709" s="6" t="s">
        <v>74</v>
      </c>
      <c r="G709" s="6">
        <v>45632</v>
      </c>
      <c r="I709" s="2" t="s">
        <v>357</v>
      </c>
      <c r="L709" s="2" t="s">
        <v>771</v>
      </c>
      <c r="N709" s="2">
        <f t="shared" ca="1" si="33"/>
        <v>127</v>
      </c>
      <c r="O709" s="6">
        <f t="shared" ca="1" si="34"/>
        <v>45456</v>
      </c>
      <c r="P709" s="2">
        <f t="shared" ca="1" si="35"/>
        <v>1</v>
      </c>
    </row>
    <row r="710" spans="1:16" x14ac:dyDescent="0.35">
      <c r="A710" s="2" t="s">
        <v>59</v>
      </c>
      <c r="B710" s="2">
        <v>2892526</v>
      </c>
      <c r="C710" s="2" t="s">
        <v>33</v>
      </c>
      <c r="D710" s="2" t="s">
        <v>23</v>
      </c>
      <c r="E710" s="2" t="s">
        <v>378</v>
      </c>
      <c r="F710" s="6" t="s">
        <v>74</v>
      </c>
      <c r="G710" s="6">
        <v>45632</v>
      </c>
      <c r="I710" s="2" t="s">
        <v>357</v>
      </c>
      <c r="L710" s="2" t="s">
        <v>771</v>
      </c>
      <c r="N710" s="2">
        <f t="shared" ca="1" si="33"/>
        <v>127</v>
      </c>
      <c r="O710" s="6">
        <f t="shared" ca="1" si="34"/>
        <v>45456</v>
      </c>
      <c r="P710" s="2">
        <f t="shared" ca="1" si="35"/>
        <v>1</v>
      </c>
    </row>
    <row r="711" spans="1:16" x14ac:dyDescent="0.35">
      <c r="A711" s="2" t="s">
        <v>37</v>
      </c>
      <c r="B711" s="2">
        <v>2892580</v>
      </c>
      <c r="C711" s="2" t="s">
        <v>33</v>
      </c>
      <c r="D711" s="2" t="s">
        <v>23</v>
      </c>
      <c r="E711" s="2" t="s">
        <v>378</v>
      </c>
      <c r="F711" s="6" t="s">
        <v>74</v>
      </c>
      <c r="G711" s="6">
        <v>45632</v>
      </c>
      <c r="I711" s="2" t="s">
        <v>357</v>
      </c>
      <c r="L711" s="2" t="s">
        <v>771</v>
      </c>
      <c r="N711" s="2">
        <f t="shared" ca="1" si="33"/>
        <v>127</v>
      </c>
      <c r="O711" s="6">
        <f t="shared" ca="1" si="34"/>
        <v>45456</v>
      </c>
      <c r="P711" s="2">
        <f t="shared" ca="1" si="35"/>
        <v>1</v>
      </c>
    </row>
    <row r="712" spans="1:16" x14ac:dyDescent="0.35">
      <c r="A712" s="2" t="s">
        <v>40</v>
      </c>
      <c r="B712" s="2">
        <v>2892596</v>
      </c>
      <c r="C712" s="2" t="s">
        <v>33</v>
      </c>
      <c r="D712" s="2" t="s">
        <v>23</v>
      </c>
      <c r="E712" s="2" t="s">
        <v>378</v>
      </c>
      <c r="F712" s="6" t="s">
        <v>74</v>
      </c>
      <c r="G712" s="6">
        <v>45632</v>
      </c>
      <c r="I712" s="2" t="s">
        <v>357</v>
      </c>
      <c r="L712" s="2" t="s">
        <v>771</v>
      </c>
      <c r="N712" s="2">
        <f t="shared" ca="1" si="33"/>
        <v>127</v>
      </c>
      <c r="O712" s="6">
        <f t="shared" ca="1" si="34"/>
        <v>45456</v>
      </c>
      <c r="P712" s="2">
        <f t="shared" ca="1" si="35"/>
        <v>1</v>
      </c>
    </row>
    <row r="713" spans="1:16" x14ac:dyDescent="0.35">
      <c r="A713" s="2" t="s">
        <v>36</v>
      </c>
      <c r="B713" s="2">
        <v>2892601</v>
      </c>
      <c r="C713" s="2" t="s">
        <v>33</v>
      </c>
      <c r="D713" s="2" t="s">
        <v>23</v>
      </c>
      <c r="E713" s="2" t="s">
        <v>378</v>
      </c>
      <c r="F713" s="6" t="s">
        <v>74</v>
      </c>
      <c r="G713" s="6">
        <v>45632</v>
      </c>
      <c r="I713" s="2" t="s">
        <v>357</v>
      </c>
      <c r="L713" s="2" t="s">
        <v>772</v>
      </c>
      <c r="N713" s="2">
        <f t="shared" ca="1" si="33"/>
        <v>127</v>
      </c>
      <c r="O713" s="6">
        <f t="shared" ca="1" si="34"/>
        <v>45456</v>
      </c>
      <c r="P713" s="2">
        <f t="shared" ca="1" si="35"/>
        <v>1</v>
      </c>
    </row>
    <row r="714" spans="1:16" x14ac:dyDescent="0.35">
      <c r="A714" s="2" t="s">
        <v>38</v>
      </c>
      <c r="B714" s="2">
        <v>2892616</v>
      </c>
      <c r="C714" s="2" t="s">
        <v>33</v>
      </c>
      <c r="D714" s="2" t="s">
        <v>23</v>
      </c>
      <c r="E714" s="2" t="s">
        <v>378</v>
      </c>
      <c r="F714" s="6" t="s">
        <v>74</v>
      </c>
      <c r="G714" s="6">
        <v>45632</v>
      </c>
      <c r="I714" s="2" t="s">
        <v>357</v>
      </c>
      <c r="L714" s="2" t="s">
        <v>771</v>
      </c>
      <c r="N714" s="2">
        <f t="shared" ca="1" si="33"/>
        <v>127</v>
      </c>
      <c r="O714" s="6">
        <f t="shared" ca="1" si="34"/>
        <v>45456</v>
      </c>
      <c r="P714" s="2">
        <f t="shared" ca="1" si="35"/>
        <v>1</v>
      </c>
    </row>
    <row r="715" spans="1:16" x14ac:dyDescent="0.35">
      <c r="A715" s="2" t="s">
        <v>42</v>
      </c>
      <c r="B715" s="2">
        <v>2892634</v>
      </c>
      <c r="C715" s="2" t="s">
        <v>33</v>
      </c>
      <c r="D715" s="2" t="s">
        <v>23</v>
      </c>
      <c r="E715" s="2" t="s">
        <v>378</v>
      </c>
      <c r="F715" s="6" t="s">
        <v>74</v>
      </c>
      <c r="G715" s="6">
        <v>45632</v>
      </c>
      <c r="I715" s="2" t="s">
        <v>357</v>
      </c>
      <c r="L715" s="2" t="s">
        <v>771</v>
      </c>
      <c r="N715" s="2">
        <f t="shared" ca="1" si="33"/>
        <v>127</v>
      </c>
      <c r="O715" s="6">
        <f t="shared" ca="1" si="34"/>
        <v>45456</v>
      </c>
      <c r="P715" s="2">
        <f t="shared" ca="1" si="35"/>
        <v>1</v>
      </c>
    </row>
    <row r="716" spans="1:16" x14ac:dyDescent="0.35">
      <c r="A716" s="2" t="s">
        <v>43</v>
      </c>
      <c r="B716" s="2">
        <v>2892656</v>
      </c>
      <c r="C716" s="2" t="s">
        <v>33</v>
      </c>
      <c r="D716" s="2" t="s">
        <v>23</v>
      </c>
      <c r="E716" s="2" t="s">
        <v>378</v>
      </c>
      <c r="F716" s="6" t="s">
        <v>74</v>
      </c>
      <c r="G716" s="6">
        <v>45632</v>
      </c>
      <c r="I716" s="2" t="s">
        <v>357</v>
      </c>
      <c r="L716" s="2" t="s">
        <v>771</v>
      </c>
      <c r="N716" s="2">
        <f t="shared" ca="1" si="33"/>
        <v>127</v>
      </c>
      <c r="O716" s="6">
        <f t="shared" ca="1" si="34"/>
        <v>45456</v>
      </c>
      <c r="P716" s="2">
        <f t="shared" ca="1" si="35"/>
        <v>1</v>
      </c>
    </row>
    <row r="717" spans="1:16" x14ac:dyDescent="0.35">
      <c r="A717" s="2" t="s">
        <v>39</v>
      </c>
      <c r="B717" s="2">
        <v>2892682</v>
      </c>
      <c r="C717" s="2" t="s">
        <v>33</v>
      </c>
      <c r="D717" s="2" t="s">
        <v>23</v>
      </c>
      <c r="E717" s="2" t="s">
        <v>378</v>
      </c>
      <c r="F717" s="6" t="s">
        <v>74</v>
      </c>
      <c r="G717" s="6">
        <v>45632</v>
      </c>
      <c r="I717" s="2" t="s">
        <v>357</v>
      </c>
      <c r="L717" s="2" t="s">
        <v>771</v>
      </c>
      <c r="N717" s="2">
        <f t="shared" ca="1" si="33"/>
        <v>127</v>
      </c>
      <c r="O717" s="6">
        <f t="shared" ca="1" si="34"/>
        <v>45456</v>
      </c>
      <c r="P717" s="2">
        <f t="shared" ca="1" si="35"/>
        <v>1</v>
      </c>
    </row>
    <row r="718" spans="1:16" x14ac:dyDescent="0.35">
      <c r="A718" s="2" t="s">
        <v>60</v>
      </c>
      <c r="B718" s="2">
        <v>2892701</v>
      </c>
      <c r="C718" s="2" t="s">
        <v>33</v>
      </c>
      <c r="D718" s="2" t="s">
        <v>23</v>
      </c>
      <c r="E718" s="2" t="s">
        <v>378</v>
      </c>
      <c r="F718" s="6" t="s">
        <v>74</v>
      </c>
      <c r="G718" s="6">
        <v>45632</v>
      </c>
      <c r="I718" s="2" t="s">
        <v>357</v>
      </c>
      <c r="L718" s="2" t="s">
        <v>771</v>
      </c>
      <c r="N718" s="2">
        <f t="shared" ca="1" si="33"/>
        <v>127</v>
      </c>
      <c r="O718" s="6">
        <f t="shared" ca="1" si="34"/>
        <v>45456</v>
      </c>
      <c r="P718" s="2">
        <f t="shared" ca="1" si="35"/>
        <v>1</v>
      </c>
    </row>
    <row r="719" spans="1:16" x14ac:dyDescent="0.35">
      <c r="A719" s="2" t="s">
        <v>61</v>
      </c>
      <c r="B719" s="2">
        <v>2571751</v>
      </c>
      <c r="C719" s="2" t="s">
        <v>33</v>
      </c>
      <c r="D719" s="2" t="s">
        <v>385</v>
      </c>
      <c r="E719" s="2" t="s">
        <v>386</v>
      </c>
      <c r="F719" s="6" t="s">
        <v>87</v>
      </c>
      <c r="G719" s="6" t="s">
        <v>464</v>
      </c>
      <c r="I719" s="2" t="s">
        <v>387</v>
      </c>
      <c r="L719" s="2" t="s">
        <v>388</v>
      </c>
      <c r="N719" s="2" t="e">
        <f t="shared" ca="1" si="33"/>
        <v>#VALUE!</v>
      </c>
      <c r="O719" s="6">
        <f t="shared" ca="1" si="34"/>
        <v>45456</v>
      </c>
      <c r="P719" s="2">
        <f t="shared" ca="1" si="35"/>
        <v>1</v>
      </c>
    </row>
    <row r="720" spans="1:16" x14ac:dyDescent="0.35">
      <c r="A720" s="2" t="s">
        <v>59</v>
      </c>
      <c r="B720" s="2">
        <v>2609812</v>
      </c>
      <c r="C720" s="2" t="s">
        <v>33</v>
      </c>
      <c r="D720" s="2" t="s">
        <v>21</v>
      </c>
      <c r="E720" s="2" t="s">
        <v>22</v>
      </c>
      <c r="F720" s="6" t="s">
        <v>131</v>
      </c>
      <c r="G720" s="6">
        <v>45602</v>
      </c>
      <c r="I720" s="2" t="s">
        <v>384</v>
      </c>
      <c r="L720" s="2" t="s">
        <v>389</v>
      </c>
      <c r="N720" s="2">
        <f t="shared" ca="1" si="33"/>
        <v>105</v>
      </c>
      <c r="O720" s="6">
        <f t="shared" ca="1" si="34"/>
        <v>45456</v>
      </c>
      <c r="P720" s="2">
        <f t="shared" ca="1" si="35"/>
        <v>1</v>
      </c>
    </row>
    <row r="721" spans="1:16" x14ac:dyDescent="0.35">
      <c r="A721" s="2" t="s">
        <v>37</v>
      </c>
      <c r="B721" s="2">
        <v>2609815</v>
      </c>
      <c r="C721" s="2" t="s">
        <v>33</v>
      </c>
      <c r="D721" s="2" t="s">
        <v>21</v>
      </c>
      <c r="E721" s="2" t="s">
        <v>22</v>
      </c>
      <c r="F721" s="6" t="s">
        <v>131</v>
      </c>
      <c r="G721" s="6">
        <v>45602</v>
      </c>
      <c r="I721" s="2" t="s">
        <v>384</v>
      </c>
      <c r="L721" s="2" t="s">
        <v>389</v>
      </c>
      <c r="N721" s="2">
        <f t="shared" ca="1" si="33"/>
        <v>105</v>
      </c>
      <c r="O721" s="6">
        <f t="shared" ca="1" si="34"/>
        <v>45456</v>
      </c>
      <c r="P721" s="2">
        <f t="shared" ca="1" si="35"/>
        <v>1</v>
      </c>
    </row>
    <row r="722" spans="1:16" x14ac:dyDescent="0.35">
      <c r="A722" s="2" t="s">
        <v>40</v>
      </c>
      <c r="B722" s="2">
        <v>2647073</v>
      </c>
      <c r="C722" s="2" t="s">
        <v>33</v>
      </c>
      <c r="D722" s="2" t="s">
        <v>531</v>
      </c>
      <c r="E722" s="2" t="s">
        <v>532</v>
      </c>
      <c r="F722" s="6" t="s">
        <v>128</v>
      </c>
      <c r="G722" s="6" t="s">
        <v>464</v>
      </c>
      <c r="I722" s="2" t="s">
        <v>387</v>
      </c>
      <c r="L722" s="2" t="s">
        <v>533</v>
      </c>
      <c r="N722" s="2" t="e">
        <f t="shared" ca="1" si="33"/>
        <v>#VALUE!</v>
      </c>
      <c r="O722" s="6">
        <f t="shared" ca="1" si="34"/>
        <v>45456</v>
      </c>
      <c r="P722" s="2">
        <f t="shared" ca="1" si="35"/>
        <v>1</v>
      </c>
    </row>
    <row r="723" spans="1:16" x14ac:dyDescent="0.35">
      <c r="A723" s="2" t="s">
        <v>36</v>
      </c>
      <c r="B723" s="2">
        <v>2667813</v>
      </c>
      <c r="C723" s="2" t="s">
        <v>33</v>
      </c>
      <c r="D723" s="2" t="s">
        <v>385</v>
      </c>
      <c r="E723" s="2" t="s">
        <v>334</v>
      </c>
      <c r="F723" s="6" t="s">
        <v>94</v>
      </c>
      <c r="G723" s="6" t="s">
        <v>464</v>
      </c>
      <c r="I723" s="2" t="s">
        <v>387</v>
      </c>
      <c r="L723" s="2" t="s">
        <v>390</v>
      </c>
      <c r="N723" s="2" t="e">
        <f t="shared" ca="1" si="33"/>
        <v>#VALUE!</v>
      </c>
      <c r="O723" s="6">
        <f t="shared" ca="1" si="34"/>
        <v>45456</v>
      </c>
      <c r="P723" s="2">
        <f t="shared" ca="1" si="35"/>
        <v>1</v>
      </c>
    </row>
    <row r="724" spans="1:16" x14ac:dyDescent="0.35">
      <c r="A724" s="2" t="s">
        <v>38</v>
      </c>
      <c r="B724" s="2">
        <v>2720150</v>
      </c>
      <c r="C724" s="2" t="s">
        <v>33</v>
      </c>
      <c r="D724" s="2" t="s">
        <v>385</v>
      </c>
      <c r="E724" s="2" t="s">
        <v>382</v>
      </c>
      <c r="F724" s="6" t="s">
        <v>126</v>
      </c>
      <c r="G724" s="6" t="s">
        <v>464</v>
      </c>
      <c r="I724" s="2" t="s">
        <v>387</v>
      </c>
      <c r="L724" s="2" t="s">
        <v>391</v>
      </c>
      <c r="N724" s="2" t="e">
        <f t="shared" ca="1" si="33"/>
        <v>#VALUE!</v>
      </c>
      <c r="O724" s="6">
        <f t="shared" ca="1" si="34"/>
        <v>45456</v>
      </c>
      <c r="P724" s="2">
        <f t="shared" ca="1" si="35"/>
        <v>1</v>
      </c>
    </row>
    <row r="725" spans="1:16" x14ac:dyDescent="0.35">
      <c r="A725" s="2" t="s">
        <v>42</v>
      </c>
      <c r="B725" s="2">
        <v>2720437</v>
      </c>
      <c r="C725" s="2" t="s">
        <v>33</v>
      </c>
      <c r="D725" s="2" t="s">
        <v>385</v>
      </c>
      <c r="E725" s="2" t="s">
        <v>382</v>
      </c>
      <c r="F725" s="6" t="s">
        <v>126</v>
      </c>
      <c r="G725" s="6" t="s">
        <v>464</v>
      </c>
      <c r="I725" s="2" t="s">
        <v>387</v>
      </c>
      <c r="L725" s="2" t="s">
        <v>392</v>
      </c>
      <c r="N725" s="2" t="e">
        <f t="shared" ca="1" si="33"/>
        <v>#VALUE!</v>
      </c>
      <c r="O725" s="6">
        <f t="shared" ca="1" si="34"/>
        <v>45456</v>
      </c>
      <c r="P725" s="2">
        <f t="shared" ca="1" si="35"/>
        <v>1</v>
      </c>
    </row>
    <row r="726" spans="1:16" x14ac:dyDescent="0.35">
      <c r="A726" s="2" t="s">
        <v>43</v>
      </c>
      <c r="B726" s="2">
        <v>2722044</v>
      </c>
      <c r="C726" s="2" t="s">
        <v>33</v>
      </c>
      <c r="D726" s="2" t="s">
        <v>385</v>
      </c>
      <c r="E726" s="2" t="s">
        <v>382</v>
      </c>
      <c r="F726" s="6" t="s">
        <v>126</v>
      </c>
      <c r="G726" s="6" t="s">
        <v>464</v>
      </c>
      <c r="I726" s="2" t="s">
        <v>387</v>
      </c>
      <c r="L726" s="2" t="s">
        <v>393</v>
      </c>
      <c r="N726" s="2" t="e">
        <f t="shared" ca="1" si="33"/>
        <v>#VALUE!</v>
      </c>
      <c r="O726" s="6">
        <f t="shared" ca="1" si="34"/>
        <v>45456</v>
      </c>
      <c r="P726" s="2">
        <f t="shared" ca="1" si="35"/>
        <v>1</v>
      </c>
    </row>
    <row r="727" spans="1:16" x14ac:dyDescent="0.35">
      <c r="A727" s="2" t="s">
        <v>39</v>
      </c>
      <c r="B727" s="2">
        <v>2722300</v>
      </c>
      <c r="C727" s="2" t="s">
        <v>33</v>
      </c>
      <c r="D727" s="2" t="s">
        <v>385</v>
      </c>
      <c r="E727" s="2" t="s">
        <v>382</v>
      </c>
      <c r="F727" s="6" t="s">
        <v>126</v>
      </c>
      <c r="G727" s="6" t="s">
        <v>464</v>
      </c>
      <c r="I727" s="2" t="s">
        <v>387</v>
      </c>
      <c r="L727" s="2" t="s">
        <v>394</v>
      </c>
      <c r="N727" s="2" t="e">
        <f t="shared" ca="1" si="33"/>
        <v>#VALUE!</v>
      </c>
      <c r="O727" s="6">
        <f t="shared" ca="1" si="34"/>
        <v>45456</v>
      </c>
      <c r="P727" s="2">
        <f t="shared" ca="1" si="35"/>
        <v>1</v>
      </c>
    </row>
    <row r="728" spans="1:16" x14ac:dyDescent="0.35">
      <c r="A728" s="2" t="s">
        <v>60</v>
      </c>
      <c r="B728" s="2">
        <v>2726055</v>
      </c>
      <c r="C728" s="2" t="s">
        <v>33</v>
      </c>
      <c r="D728" s="2" t="s">
        <v>385</v>
      </c>
      <c r="E728" s="2" t="s">
        <v>395</v>
      </c>
      <c r="F728" s="6" t="s">
        <v>126</v>
      </c>
      <c r="G728" s="6" t="s">
        <v>464</v>
      </c>
      <c r="I728" s="2" t="s">
        <v>387</v>
      </c>
      <c r="L728" s="2" t="s">
        <v>396</v>
      </c>
      <c r="N728" s="2" t="e">
        <f t="shared" ca="1" si="33"/>
        <v>#VALUE!</v>
      </c>
      <c r="O728" s="6">
        <f t="shared" ca="1" si="34"/>
        <v>45456</v>
      </c>
      <c r="P728" s="2">
        <f t="shared" ca="1" si="35"/>
        <v>1</v>
      </c>
    </row>
    <row r="729" spans="1:16" x14ac:dyDescent="0.35">
      <c r="A729" s="2" t="s">
        <v>61</v>
      </c>
      <c r="B729" s="2">
        <v>2859724</v>
      </c>
      <c r="C729" s="2" t="s">
        <v>33</v>
      </c>
      <c r="D729" s="2" t="s">
        <v>385</v>
      </c>
      <c r="E729" s="2" t="s">
        <v>397</v>
      </c>
      <c r="F729" s="6" t="s">
        <v>114</v>
      </c>
      <c r="G729" s="6" t="s">
        <v>464</v>
      </c>
      <c r="I729" s="2" t="s">
        <v>387</v>
      </c>
      <c r="L729" s="2" t="s">
        <v>390</v>
      </c>
      <c r="N729" s="2" t="e">
        <f t="shared" ca="1" si="33"/>
        <v>#VALUE!</v>
      </c>
      <c r="O729" s="6">
        <f t="shared" ca="1" si="34"/>
        <v>45456</v>
      </c>
      <c r="P729" s="2">
        <f t="shared" ca="1" si="35"/>
        <v>1</v>
      </c>
    </row>
    <row r="730" spans="1:16" x14ac:dyDescent="0.35">
      <c r="A730" s="2" t="s">
        <v>59</v>
      </c>
      <c r="B730" s="2">
        <v>2861113</v>
      </c>
      <c r="C730" s="2" t="s">
        <v>33</v>
      </c>
      <c r="D730" s="2" t="s">
        <v>385</v>
      </c>
      <c r="E730" s="2" t="s">
        <v>382</v>
      </c>
      <c r="F730" s="6" t="s">
        <v>114</v>
      </c>
      <c r="G730" s="6" t="s">
        <v>464</v>
      </c>
      <c r="I730" s="2" t="s">
        <v>387</v>
      </c>
      <c r="L730" s="2" t="s">
        <v>534</v>
      </c>
      <c r="N730" s="2" t="e">
        <f t="shared" ca="1" si="33"/>
        <v>#VALUE!</v>
      </c>
      <c r="O730" s="6">
        <f t="shared" ca="1" si="34"/>
        <v>45456</v>
      </c>
      <c r="P730" s="2">
        <f t="shared" ca="1" si="35"/>
        <v>1</v>
      </c>
    </row>
    <row r="731" spans="1:16" x14ac:dyDescent="0.35">
      <c r="A731" s="2" t="s">
        <v>37</v>
      </c>
      <c r="B731" s="2">
        <v>2861181</v>
      </c>
      <c r="C731" s="2" t="s">
        <v>33</v>
      </c>
      <c r="D731" s="2" t="s">
        <v>385</v>
      </c>
      <c r="E731" s="2" t="s">
        <v>773</v>
      </c>
      <c r="F731" s="6" t="s">
        <v>114</v>
      </c>
      <c r="G731" s="6" t="s">
        <v>464</v>
      </c>
      <c r="I731" s="2" t="s">
        <v>387</v>
      </c>
      <c r="L731" s="2" t="s">
        <v>774</v>
      </c>
      <c r="N731" s="2" t="e">
        <f t="shared" ca="1" si="33"/>
        <v>#VALUE!</v>
      </c>
      <c r="O731" s="6">
        <f t="shared" ca="1" si="34"/>
        <v>45456</v>
      </c>
      <c r="P731" s="2">
        <f t="shared" ca="1" si="35"/>
        <v>1</v>
      </c>
    </row>
    <row r="732" spans="1:16" x14ac:dyDescent="0.35">
      <c r="A732" s="2" t="s">
        <v>40</v>
      </c>
      <c r="B732" s="2">
        <v>2862171</v>
      </c>
      <c r="C732" s="2" t="s">
        <v>33</v>
      </c>
      <c r="D732" s="2" t="s">
        <v>385</v>
      </c>
      <c r="E732" s="2" t="s">
        <v>397</v>
      </c>
      <c r="F732" s="6" t="s">
        <v>102</v>
      </c>
      <c r="G732" s="6" t="s">
        <v>464</v>
      </c>
      <c r="I732" s="2" t="s">
        <v>387</v>
      </c>
      <c r="L732" s="2" t="s">
        <v>390</v>
      </c>
      <c r="N732" s="2" t="e">
        <f t="shared" ca="1" si="33"/>
        <v>#VALUE!</v>
      </c>
      <c r="O732" s="6">
        <f t="shared" ca="1" si="34"/>
        <v>45456</v>
      </c>
      <c r="P732" s="2">
        <f t="shared" ca="1" si="35"/>
        <v>1</v>
      </c>
    </row>
    <row r="733" spans="1:16" x14ac:dyDescent="0.35">
      <c r="A733" s="2" t="s">
        <v>36</v>
      </c>
      <c r="B733" s="2">
        <v>2862458</v>
      </c>
      <c r="C733" s="2" t="s">
        <v>33</v>
      </c>
      <c r="D733" s="2" t="s">
        <v>385</v>
      </c>
      <c r="E733" s="2" t="s">
        <v>398</v>
      </c>
      <c r="F733" s="6" t="s">
        <v>102</v>
      </c>
      <c r="G733" s="6" t="s">
        <v>464</v>
      </c>
      <c r="I733" s="2" t="s">
        <v>387</v>
      </c>
      <c r="L733" s="2" t="s">
        <v>399</v>
      </c>
      <c r="N733" s="2" t="e">
        <f t="shared" ca="1" si="33"/>
        <v>#VALUE!</v>
      </c>
      <c r="O733" s="6">
        <f t="shared" ca="1" si="34"/>
        <v>45456</v>
      </c>
      <c r="P733" s="2">
        <f t="shared" ca="1" si="35"/>
        <v>1</v>
      </c>
    </row>
    <row r="734" spans="1:16" x14ac:dyDescent="0.35">
      <c r="A734" s="2" t="s">
        <v>38</v>
      </c>
      <c r="B734" s="2">
        <v>2869876</v>
      </c>
      <c r="C734" s="2" t="s">
        <v>33</v>
      </c>
      <c r="D734" s="2" t="s">
        <v>21</v>
      </c>
      <c r="E734" s="2" t="s">
        <v>22</v>
      </c>
      <c r="F734" s="6" t="s">
        <v>135</v>
      </c>
      <c r="G734" s="6">
        <v>45571</v>
      </c>
      <c r="I734" s="2" t="s">
        <v>384</v>
      </c>
      <c r="L734" s="2" t="s">
        <v>400</v>
      </c>
      <c r="N734" s="2">
        <f t="shared" ca="1" si="33"/>
        <v>82</v>
      </c>
      <c r="O734" s="6">
        <f t="shared" ca="1" si="34"/>
        <v>45456</v>
      </c>
      <c r="P734" s="2">
        <f t="shared" ca="1" si="35"/>
        <v>1</v>
      </c>
    </row>
    <row r="735" spans="1:16" x14ac:dyDescent="0.35">
      <c r="A735" s="2" t="s">
        <v>42</v>
      </c>
      <c r="B735" s="2">
        <v>2871826</v>
      </c>
      <c r="C735" s="2" t="s">
        <v>33</v>
      </c>
      <c r="D735" s="2" t="s">
        <v>409</v>
      </c>
      <c r="E735" s="2" t="s">
        <v>535</v>
      </c>
      <c r="F735" s="6" t="s">
        <v>135</v>
      </c>
      <c r="G735" s="6">
        <v>45632</v>
      </c>
      <c r="I735" s="2" t="s">
        <v>410</v>
      </c>
      <c r="L735" s="2" t="s">
        <v>775</v>
      </c>
      <c r="N735" s="2">
        <f t="shared" ca="1" si="33"/>
        <v>127</v>
      </c>
      <c r="O735" s="6">
        <f t="shared" ca="1" si="34"/>
        <v>45456</v>
      </c>
      <c r="P735" s="2">
        <f t="shared" ca="1" si="35"/>
        <v>1</v>
      </c>
    </row>
    <row r="736" spans="1:16" x14ac:dyDescent="0.35">
      <c r="A736" s="2" t="s">
        <v>43</v>
      </c>
      <c r="B736" s="2">
        <v>2872462</v>
      </c>
      <c r="C736" s="2" t="s">
        <v>33</v>
      </c>
      <c r="D736" s="2" t="s">
        <v>385</v>
      </c>
      <c r="E736" s="2" t="s">
        <v>401</v>
      </c>
      <c r="F736" s="6" t="s">
        <v>135</v>
      </c>
      <c r="G736" s="6" t="s">
        <v>464</v>
      </c>
      <c r="I736" s="2" t="s">
        <v>387</v>
      </c>
      <c r="L736" s="2" t="s">
        <v>402</v>
      </c>
      <c r="N736" s="2" t="e">
        <f t="shared" ca="1" si="33"/>
        <v>#VALUE!</v>
      </c>
      <c r="O736" s="6">
        <f t="shared" ca="1" si="34"/>
        <v>45456</v>
      </c>
      <c r="P736" s="2">
        <f t="shared" ca="1" si="35"/>
        <v>1</v>
      </c>
    </row>
    <row r="737" spans="1:16" x14ac:dyDescent="0.35">
      <c r="A737" s="2" t="s">
        <v>39</v>
      </c>
      <c r="B737" s="2">
        <v>2873244</v>
      </c>
      <c r="C737" s="2" t="s">
        <v>33</v>
      </c>
      <c r="D737" s="2" t="s">
        <v>21</v>
      </c>
      <c r="E737" s="2" t="s">
        <v>22</v>
      </c>
      <c r="F737" s="6" t="s">
        <v>135</v>
      </c>
      <c r="G737" s="6">
        <v>45571</v>
      </c>
      <c r="I737" s="2" t="s">
        <v>384</v>
      </c>
      <c r="L737" s="2" t="s">
        <v>403</v>
      </c>
      <c r="N737" s="2">
        <f t="shared" ca="1" si="33"/>
        <v>82</v>
      </c>
      <c r="O737" s="6">
        <f t="shared" ca="1" si="34"/>
        <v>45456</v>
      </c>
      <c r="P737" s="2">
        <f t="shared" ca="1" si="35"/>
        <v>1</v>
      </c>
    </row>
    <row r="738" spans="1:16" x14ac:dyDescent="0.35">
      <c r="A738" s="2" t="s">
        <v>60</v>
      </c>
      <c r="B738" s="2">
        <v>2879732</v>
      </c>
      <c r="C738" s="2" t="s">
        <v>33</v>
      </c>
      <c r="D738" s="2" t="s">
        <v>21</v>
      </c>
      <c r="E738" s="2" t="s">
        <v>22</v>
      </c>
      <c r="F738" s="6" t="s">
        <v>129</v>
      </c>
      <c r="G738" s="6">
        <v>45602</v>
      </c>
      <c r="I738" s="2" t="s">
        <v>384</v>
      </c>
      <c r="L738" s="2" t="s">
        <v>404</v>
      </c>
      <c r="N738" s="2">
        <f t="shared" ca="1" si="33"/>
        <v>105</v>
      </c>
      <c r="O738" s="6">
        <f t="shared" ca="1" si="34"/>
        <v>45456</v>
      </c>
      <c r="P738" s="2">
        <f t="shared" ca="1" si="35"/>
        <v>1</v>
      </c>
    </row>
    <row r="739" spans="1:16" x14ac:dyDescent="0.35">
      <c r="A739" s="2" t="s">
        <v>61</v>
      </c>
      <c r="B739" s="2">
        <v>2882599</v>
      </c>
      <c r="C739" s="2" t="s">
        <v>33</v>
      </c>
      <c r="D739" s="2" t="s">
        <v>21</v>
      </c>
      <c r="E739" s="2" t="s">
        <v>22</v>
      </c>
      <c r="F739" s="6" t="s">
        <v>116</v>
      </c>
      <c r="G739" s="6">
        <v>45602</v>
      </c>
      <c r="I739" s="2" t="s">
        <v>384</v>
      </c>
      <c r="L739" s="2" t="s">
        <v>405</v>
      </c>
      <c r="N739" s="2">
        <f t="shared" ca="1" si="33"/>
        <v>105</v>
      </c>
      <c r="O739" s="6">
        <f t="shared" ca="1" si="34"/>
        <v>45456</v>
      </c>
      <c r="P739" s="2">
        <f t="shared" ca="1" si="35"/>
        <v>1</v>
      </c>
    </row>
    <row r="740" spans="1:16" x14ac:dyDescent="0.35">
      <c r="A740" s="2" t="s">
        <v>59</v>
      </c>
      <c r="B740" s="2">
        <v>2882753</v>
      </c>
      <c r="C740" s="2" t="s">
        <v>33</v>
      </c>
      <c r="D740" s="2" t="s">
        <v>21</v>
      </c>
      <c r="E740" s="2" t="s">
        <v>22</v>
      </c>
      <c r="F740" s="6" t="s">
        <v>116</v>
      </c>
      <c r="G740" s="6">
        <v>45571</v>
      </c>
      <c r="I740" s="2" t="s">
        <v>384</v>
      </c>
      <c r="L740" s="2" t="s">
        <v>406</v>
      </c>
      <c r="N740" s="2">
        <f t="shared" ca="1" si="33"/>
        <v>82</v>
      </c>
      <c r="O740" s="6">
        <f t="shared" ca="1" si="34"/>
        <v>45456</v>
      </c>
      <c r="P740" s="2">
        <f t="shared" ca="1" si="35"/>
        <v>1</v>
      </c>
    </row>
    <row r="741" spans="1:16" x14ac:dyDescent="0.35">
      <c r="A741" s="2" t="s">
        <v>37</v>
      </c>
      <c r="B741" s="2">
        <v>2883546</v>
      </c>
      <c r="C741" s="2" t="s">
        <v>33</v>
      </c>
      <c r="D741" s="2" t="s">
        <v>21</v>
      </c>
      <c r="E741" s="2" t="s">
        <v>22</v>
      </c>
      <c r="F741" s="6" t="s">
        <v>78</v>
      </c>
      <c r="G741" s="6">
        <v>45571</v>
      </c>
      <c r="I741" s="2" t="s">
        <v>384</v>
      </c>
      <c r="L741" s="2" t="s">
        <v>407</v>
      </c>
      <c r="N741" s="2">
        <f t="shared" ca="1" si="33"/>
        <v>82</v>
      </c>
      <c r="O741" s="6">
        <f t="shared" ca="1" si="34"/>
        <v>45456</v>
      </c>
      <c r="P741" s="2">
        <f t="shared" ca="1" si="35"/>
        <v>1</v>
      </c>
    </row>
    <row r="742" spans="1:16" x14ac:dyDescent="0.35">
      <c r="A742" s="2" t="s">
        <v>40</v>
      </c>
      <c r="B742" s="2">
        <v>2885300</v>
      </c>
      <c r="C742" s="2" t="s">
        <v>33</v>
      </c>
      <c r="D742" s="2" t="s">
        <v>21</v>
      </c>
      <c r="E742" s="2" t="s">
        <v>22</v>
      </c>
      <c r="F742" s="6" t="s">
        <v>78</v>
      </c>
      <c r="G742" s="6">
        <v>45602</v>
      </c>
      <c r="I742" s="2" t="s">
        <v>384</v>
      </c>
      <c r="L742" s="2" t="s">
        <v>408</v>
      </c>
      <c r="N742" s="2">
        <f t="shared" ca="1" si="33"/>
        <v>105</v>
      </c>
      <c r="O742" s="6">
        <f t="shared" ca="1" si="34"/>
        <v>45456</v>
      </c>
      <c r="P742" s="2">
        <f t="shared" ca="1" si="35"/>
        <v>1</v>
      </c>
    </row>
    <row r="743" spans="1:16" x14ac:dyDescent="0.35">
      <c r="A743" s="2" t="s">
        <v>36</v>
      </c>
      <c r="B743" s="2">
        <v>2888379</v>
      </c>
      <c r="C743" s="2" t="s">
        <v>33</v>
      </c>
      <c r="D743" s="2" t="s">
        <v>21</v>
      </c>
      <c r="E743" s="2" t="s">
        <v>22</v>
      </c>
      <c r="F743" s="6" t="s">
        <v>124</v>
      </c>
      <c r="G743" s="6">
        <v>45602</v>
      </c>
      <c r="I743" s="2" t="s">
        <v>384</v>
      </c>
      <c r="L743" s="2" t="s">
        <v>412</v>
      </c>
      <c r="N743" s="2">
        <f t="shared" ca="1" si="33"/>
        <v>105</v>
      </c>
      <c r="O743" s="6">
        <f t="shared" ca="1" si="34"/>
        <v>45456</v>
      </c>
      <c r="P743" s="2">
        <f t="shared" ca="1" si="35"/>
        <v>1</v>
      </c>
    </row>
    <row r="744" spans="1:16" x14ac:dyDescent="0.35">
      <c r="A744" s="2" t="s">
        <v>38</v>
      </c>
      <c r="B744" s="2">
        <v>2888624</v>
      </c>
      <c r="C744" s="2" t="s">
        <v>33</v>
      </c>
      <c r="D744" s="2" t="s">
        <v>21</v>
      </c>
      <c r="E744" s="2" t="s">
        <v>22</v>
      </c>
      <c r="F744" s="6" t="s">
        <v>124</v>
      </c>
      <c r="G744" s="6">
        <v>45602</v>
      </c>
      <c r="I744" s="2" t="s">
        <v>384</v>
      </c>
      <c r="L744" s="2" t="s">
        <v>299</v>
      </c>
      <c r="N744" s="2">
        <f t="shared" ca="1" si="33"/>
        <v>105</v>
      </c>
      <c r="O744" s="6">
        <f t="shared" ca="1" si="34"/>
        <v>45456</v>
      </c>
      <c r="P744" s="2">
        <f t="shared" ca="1" si="35"/>
        <v>1</v>
      </c>
    </row>
    <row r="745" spans="1:16" x14ac:dyDescent="0.35">
      <c r="A745" s="2" t="s">
        <v>42</v>
      </c>
      <c r="B745" s="2">
        <v>2888718</v>
      </c>
      <c r="C745" s="2" t="s">
        <v>33</v>
      </c>
      <c r="D745" s="2" t="s">
        <v>21</v>
      </c>
      <c r="E745" s="2" t="s">
        <v>22</v>
      </c>
      <c r="F745" s="6" t="s">
        <v>124</v>
      </c>
      <c r="G745" s="6">
        <v>45602</v>
      </c>
      <c r="I745" s="2" t="s">
        <v>384</v>
      </c>
      <c r="L745" s="2" t="s">
        <v>299</v>
      </c>
      <c r="N745" s="2">
        <f t="shared" ca="1" si="33"/>
        <v>105</v>
      </c>
      <c r="O745" s="6">
        <f t="shared" ca="1" si="34"/>
        <v>45456</v>
      </c>
      <c r="P745" s="2">
        <f t="shared" ca="1" si="35"/>
        <v>1</v>
      </c>
    </row>
    <row r="746" spans="1:16" x14ac:dyDescent="0.35">
      <c r="A746" s="2" t="s">
        <v>43</v>
      </c>
      <c r="B746" s="2">
        <v>2888736</v>
      </c>
      <c r="C746" s="2" t="s">
        <v>33</v>
      </c>
      <c r="D746" s="2" t="s">
        <v>21</v>
      </c>
      <c r="E746" s="2" t="s">
        <v>22</v>
      </c>
      <c r="F746" s="6" t="s">
        <v>124</v>
      </c>
      <c r="G746" s="6">
        <v>45632</v>
      </c>
      <c r="I746" s="2" t="s">
        <v>384</v>
      </c>
      <c r="L746" s="2" t="s">
        <v>776</v>
      </c>
      <c r="N746" s="2">
        <f t="shared" ca="1" si="33"/>
        <v>127</v>
      </c>
      <c r="O746" s="6">
        <f t="shared" ca="1" si="34"/>
        <v>45456</v>
      </c>
      <c r="P746" s="2">
        <f t="shared" ca="1" si="35"/>
        <v>1</v>
      </c>
    </row>
    <row r="747" spans="1:16" x14ac:dyDescent="0.35">
      <c r="A747" s="2" t="s">
        <v>39</v>
      </c>
      <c r="B747" s="2">
        <v>2889512</v>
      </c>
      <c r="C747" s="2" t="s">
        <v>33</v>
      </c>
      <c r="D747" s="2" t="s">
        <v>21</v>
      </c>
      <c r="E747" s="2" t="s">
        <v>22</v>
      </c>
      <c r="F747" s="6" t="s">
        <v>124</v>
      </c>
      <c r="G747" s="6">
        <v>45602</v>
      </c>
      <c r="I747" s="2" t="s">
        <v>384</v>
      </c>
      <c r="L747" s="2" t="s">
        <v>413</v>
      </c>
      <c r="N747" s="2">
        <f t="shared" ca="1" si="33"/>
        <v>105</v>
      </c>
      <c r="O747" s="6">
        <f t="shared" ca="1" si="34"/>
        <v>45456</v>
      </c>
      <c r="P747" s="2">
        <f t="shared" ca="1" si="35"/>
        <v>1</v>
      </c>
    </row>
    <row r="748" spans="1:16" x14ac:dyDescent="0.35">
      <c r="A748" s="2" t="s">
        <v>60</v>
      </c>
      <c r="B748" s="2">
        <v>2890014</v>
      </c>
      <c r="C748" s="2" t="s">
        <v>33</v>
      </c>
      <c r="D748" s="2" t="s">
        <v>409</v>
      </c>
      <c r="E748" s="2" t="s">
        <v>414</v>
      </c>
      <c r="F748" s="6" t="s">
        <v>124</v>
      </c>
      <c r="G748" s="6">
        <v>45602</v>
      </c>
      <c r="I748" s="2" t="s">
        <v>410</v>
      </c>
      <c r="L748" s="2" t="s">
        <v>415</v>
      </c>
      <c r="N748" s="2">
        <f t="shared" ca="1" si="33"/>
        <v>105</v>
      </c>
      <c r="O748" s="6">
        <f t="shared" ca="1" si="34"/>
        <v>45456</v>
      </c>
      <c r="P748" s="2">
        <f t="shared" ca="1" si="35"/>
        <v>1</v>
      </c>
    </row>
    <row r="749" spans="1:16" x14ac:dyDescent="0.35">
      <c r="A749" s="2" t="s">
        <v>61</v>
      </c>
      <c r="B749" s="2">
        <v>2891302</v>
      </c>
      <c r="C749" s="2" t="s">
        <v>33</v>
      </c>
      <c r="D749" s="2" t="s">
        <v>409</v>
      </c>
      <c r="E749" s="2" t="s">
        <v>365</v>
      </c>
      <c r="F749" s="6" t="s">
        <v>74</v>
      </c>
      <c r="G749" s="6">
        <v>45602</v>
      </c>
      <c r="I749" s="2" t="s">
        <v>410</v>
      </c>
      <c r="L749" s="2" t="s">
        <v>777</v>
      </c>
      <c r="N749" s="2">
        <f t="shared" ca="1" si="33"/>
        <v>105</v>
      </c>
      <c r="O749" s="6">
        <f t="shared" ca="1" si="34"/>
        <v>45456</v>
      </c>
      <c r="P749" s="2">
        <f t="shared" ca="1" si="35"/>
        <v>1</v>
      </c>
    </row>
    <row r="750" spans="1:16" x14ac:dyDescent="0.35">
      <c r="A750" s="2" t="s">
        <v>59</v>
      </c>
      <c r="B750" s="2">
        <v>2891361</v>
      </c>
      <c r="C750" s="2" t="s">
        <v>33</v>
      </c>
      <c r="D750" s="2" t="s">
        <v>409</v>
      </c>
      <c r="E750" s="2" t="s">
        <v>380</v>
      </c>
      <c r="F750" s="6" t="s">
        <v>74</v>
      </c>
      <c r="G750" s="6">
        <v>45602</v>
      </c>
      <c r="I750" s="2" t="s">
        <v>410</v>
      </c>
      <c r="L750" s="2" t="s">
        <v>778</v>
      </c>
      <c r="N750" s="2">
        <f t="shared" ca="1" si="33"/>
        <v>105</v>
      </c>
      <c r="O750" s="6">
        <f t="shared" ca="1" si="34"/>
        <v>45456</v>
      </c>
      <c r="P750" s="2">
        <f t="shared" ca="1" si="35"/>
        <v>1</v>
      </c>
    </row>
    <row r="751" spans="1:16" x14ac:dyDescent="0.35">
      <c r="A751" s="2" t="s">
        <v>37</v>
      </c>
      <c r="B751" s="2">
        <v>2892177</v>
      </c>
      <c r="C751" s="2" t="s">
        <v>33</v>
      </c>
      <c r="D751" s="2" t="s">
        <v>409</v>
      </c>
      <c r="E751" s="2" t="s">
        <v>365</v>
      </c>
      <c r="F751" s="6" t="s">
        <v>74</v>
      </c>
      <c r="G751" s="6">
        <v>45632</v>
      </c>
      <c r="I751" s="2" t="s">
        <v>410</v>
      </c>
      <c r="L751" s="2" t="s">
        <v>777</v>
      </c>
      <c r="N751" s="2">
        <f t="shared" ca="1" si="33"/>
        <v>127</v>
      </c>
      <c r="O751" s="6">
        <f t="shared" ca="1" si="34"/>
        <v>45456</v>
      </c>
      <c r="P751" s="2">
        <f t="shared" ca="1" si="35"/>
        <v>1</v>
      </c>
    </row>
    <row r="752" spans="1:16" x14ac:dyDescent="0.35">
      <c r="A752" s="2" t="s">
        <v>40</v>
      </c>
      <c r="B752" s="2">
        <v>2486206</v>
      </c>
      <c r="C752" s="2" t="s">
        <v>33</v>
      </c>
      <c r="D752" s="2" t="s">
        <v>454</v>
      </c>
      <c r="E752" s="2" t="s">
        <v>779</v>
      </c>
      <c r="F752" s="6" t="s">
        <v>502</v>
      </c>
      <c r="G752" s="6" t="s">
        <v>91</v>
      </c>
      <c r="I752" s="2" t="s">
        <v>456</v>
      </c>
      <c r="L752" s="2" t="s">
        <v>780</v>
      </c>
      <c r="N752" s="2">
        <f t="shared" ca="1" si="33"/>
        <v>2</v>
      </c>
      <c r="O752" s="6">
        <f t="shared" ca="1" si="34"/>
        <v>45456</v>
      </c>
      <c r="P752" s="2">
        <f t="shared" ca="1" si="35"/>
        <v>1</v>
      </c>
    </row>
    <row r="753" spans="1:16" x14ac:dyDescent="0.35">
      <c r="A753" s="2" t="s">
        <v>36</v>
      </c>
      <c r="B753" s="2">
        <v>2578313</v>
      </c>
      <c r="C753" s="2" t="s">
        <v>33</v>
      </c>
      <c r="D753" s="2" t="s">
        <v>454</v>
      </c>
      <c r="E753" s="2" t="s">
        <v>784</v>
      </c>
      <c r="F753" s="6" t="s">
        <v>89</v>
      </c>
      <c r="G753" s="6" t="s">
        <v>141</v>
      </c>
      <c r="I753" s="2" t="s">
        <v>456</v>
      </c>
      <c r="L753" s="2" t="s">
        <v>785</v>
      </c>
      <c r="N753" s="2">
        <f t="shared" ca="1" si="33"/>
        <v>1</v>
      </c>
      <c r="O753" s="6">
        <f t="shared" ca="1" si="34"/>
        <v>45456</v>
      </c>
      <c r="P753" s="2">
        <f t="shared" ca="1" si="35"/>
        <v>1</v>
      </c>
    </row>
    <row r="754" spans="1:16" x14ac:dyDescent="0.35">
      <c r="A754" s="2" t="s">
        <v>38</v>
      </c>
      <c r="B754" s="2">
        <v>2627244</v>
      </c>
      <c r="C754" s="2" t="s">
        <v>33</v>
      </c>
      <c r="D754" s="2" t="s">
        <v>454</v>
      </c>
      <c r="E754" s="2" t="s">
        <v>786</v>
      </c>
      <c r="F754" s="6" t="s">
        <v>107</v>
      </c>
      <c r="G754" s="6">
        <v>45632</v>
      </c>
      <c r="I754" s="2" t="s">
        <v>456</v>
      </c>
      <c r="L754" s="2" t="s">
        <v>787</v>
      </c>
      <c r="N754" s="2">
        <f t="shared" ca="1" si="33"/>
        <v>127</v>
      </c>
      <c r="O754" s="6">
        <f t="shared" ca="1" si="34"/>
        <v>45456</v>
      </c>
      <c r="P754" s="2">
        <f t="shared" ca="1" si="35"/>
        <v>1</v>
      </c>
    </row>
    <row r="755" spans="1:16" x14ac:dyDescent="0.35">
      <c r="A755" s="2" t="s">
        <v>42</v>
      </c>
      <c r="B755" s="2">
        <v>2856616</v>
      </c>
      <c r="C755" s="2" t="s">
        <v>33</v>
      </c>
      <c r="D755" s="2" t="s">
        <v>454</v>
      </c>
      <c r="E755" s="2" t="s">
        <v>784</v>
      </c>
      <c r="F755" s="6" t="s">
        <v>99</v>
      </c>
      <c r="G755" s="6" t="s">
        <v>67</v>
      </c>
      <c r="I755" s="2" t="s">
        <v>456</v>
      </c>
      <c r="L755" s="2" t="s">
        <v>788</v>
      </c>
      <c r="N755" s="2">
        <f t="shared" ca="1" si="33"/>
        <v>3</v>
      </c>
      <c r="O755" s="6">
        <f t="shared" ca="1" si="34"/>
        <v>45456</v>
      </c>
      <c r="P755" s="2">
        <f t="shared" ca="1" si="35"/>
        <v>1</v>
      </c>
    </row>
    <row r="756" spans="1:16" x14ac:dyDescent="0.35">
      <c r="A756" s="2" t="s">
        <v>43</v>
      </c>
      <c r="B756" s="2">
        <v>2859811</v>
      </c>
      <c r="C756" s="2" t="s">
        <v>33</v>
      </c>
      <c r="D756" s="2" t="s">
        <v>445</v>
      </c>
      <c r="E756" s="2" t="s">
        <v>789</v>
      </c>
      <c r="F756" s="6" t="s">
        <v>114</v>
      </c>
      <c r="G756" s="6" t="s">
        <v>141</v>
      </c>
      <c r="I756" s="2" t="s">
        <v>447</v>
      </c>
      <c r="L756" s="2" t="s">
        <v>790</v>
      </c>
      <c r="N756" s="2">
        <f t="shared" ca="1" si="33"/>
        <v>1</v>
      </c>
      <c r="O756" s="6">
        <f t="shared" ca="1" si="34"/>
        <v>45456</v>
      </c>
      <c r="P756" s="2">
        <f t="shared" ca="1" si="35"/>
        <v>1</v>
      </c>
    </row>
    <row r="757" spans="1:16" x14ac:dyDescent="0.35">
      <c r="A757" s="2" t="s">
        <v>39</v>
      </c>
      <c r="B757" s="2">
        <v>2859823</v>
      </c>
      <c r="C757" s="2" t="s">
        <v>33</v>
      </c>
      <c r="D757" s="2" t="s">
        <v>445</v>
      </c>
      <c r="E757" s="2" t="s">
        <v>789</v>
      </c>
      <c r="F757" s="6" t="s">
        <v>114</v>
      </c>
      <c r="G757" s="6" t="s">
        <v>141</v>
      </c>
      <c r="I757" s="2" t="s">
        <v>447</v>
      </c>
      <c r="L757" s="2" t="s">
        <v>790</v>
      </c>
      <c r="N757" s="2">
        <f t="shared" ca="1" si="33"/>
        <v>1</v>
      </c>
      <c r="O757" s="6">
        <f t="shared" ca="1" si="34"/>
        <v>45456</v>
      </c>
      <c r="P757" s="2">
        <f t="shared" ca="1" si="35"/>
        <v>1</v>
      </c>
    </row>
    <row r="758" spans="1:16" x14ac:dyDescent="0.35">
      <c r="A758" s="2" t="s">
        <v>60</v>
      </c>
      <c r="B758" s="2">
        <v>2877207</v>
      </c>
      <c r="C758" s="2" t="s">
        <v>33</v>
      </c>
      <c r="D758" s="2" t="s">
        <v>445</v>
      </c>
      <c r="E758" s="2" t="s">
        <v>791</v>
      </c>
      <c r="F758" s="6" t="s">
        <v>129</v>
      </c>
      <c r="G758" s="6">
        <v>45632</v>
      </c>
      <c r="I758" s="2" t="s">
        <v>792</v>
      </c>
      <c r="L758" s="2" t="s">
        <v>793</v>
      </c>
      <c r="N758" s="2">
        <f t="shared" ca="1" si="33"/>
        <v>127</v>
      </c>
      <c r="O758" s="6">
        <f t="shared" ca="1" si="34"/>
        <v>45456</v>
      </c>
      <c r="P758" s="2">
        <f t="shared" ca="1" si="35"/>
        <v>1</v>
      </c>
    </row>
    <row r="759" spans="1:16" x14ac:dyDescent="0.35">
      <c r="A759" s="2" t="s">
        <v>61</v>
      </c>
      <c r="B759" s="2">
        <v>2877304</v>
      </c>
      <c r="C759" s="2" t="s">
        <v>33</v>
      </c>
      <c r="D759" s="2" t="s">
        <v>445</v>
      </c>
      <c r="E759" s="2" t="s">
        <v>791</v>
      </c>
      <c r="F759" s="6" t="s">
        <v>129</v>
      </c>
      <c r="G759" s="6">
        <v>45632</v>
      </c>
      <c r="I759" s="2" t="s">
        <v>792</v>
      </c>
      <c r="L759" s="2" t="s">
        <v>793</v>
      </c>
      <c r="N759" s="2">
        <f t="shared" ca="1" si="33"/>
        <v>127</v>
      </c>
      <c r="O759" s="6">
        <f t="shared" ca="1" si="34"/>
        <v>45456</v>
      </c>
      <c r="P759" s="2">
        <f t="shared" ca="1" si="35"/>
        <v>1</v>
      </c>
    </row>
    <row r="760" spans="1:16" x14ac:dyDescent="0.35">
      <c r="A760" s="2" t="s">
        <v>59</v>
      </c>
      <c r="B760" s="2">
        <v>2878149</v>
      </c>
      <c r="C760" s="2" t="s">
        <v>33</v>
      </c>
      <c r="D760" s="2" t="s">
        <v>445</v>
      </c>
      <c r="E760" s="2" t="s">
        <v>446</v>
      </c>
      <c r="F760" s="6" t="s">
        <v>129</v>
      </c>
      <c r="G760" s="6" t="s">
        <v>141</v>
      </c>
      <c r="I760" s="2" t="s">
        <v>447</v>
      </c>
      <c r="L760" s="2" t="s">
        <v>448</v>
      </c>
      <c r="N760" s="2">
        <f t="shared" ca="1" si="33"/>
        <v>1</v>
      </c>
      <c r="O760" s="6">
        <f t="shared" ca="1" si="34"/>
        <v>45456</v>
      </c>
      <c r="P760" s="2">
        <f t="shared" ca="1" si="35"/>
        <v>1</v>
      </c>
    </row>
    <row r="761" spans="1:16" x14ac:dyDescent="0.35">
      <c r="A761" s="2" t="s">
        <v>37</v>
      </c>
      <c r="B761" s="2">
        <v>2880752</v>
      </c>
      <c r="C761" s="2" t="s">
        <v>33</v>
      </c>
      <c r="D761" s="2" t="s">
        <v>445</v>
      </c>
      <c r="E761" s="2" t="s">
        <v>536</v>
      </c>
      <c r="F761" s="6" t="s">
        <v>116</v>
      </c>
      <c r="G761" s="6" t="s">
        <v>141</v>
      </c>
      <c r="I761" s="2" t="s">
        <v>447</v>
      </c>
      <c r="L761" s="2" t="s">
        <v>537</v>
      </c>
      <c r="N761" s="2">
        <f t="shared" ca="1" si="33"/>
        <v>1</v>
      </c>
      <c r="O761" s="6">
        <f t="shared" ca="1" si="34"/>
        <v>45456</v>
      </c>
      <c r="P761" s="2">
        <f t="shared" ca="1" si="35"/>
        <v>1</v>
      </c>
    </row>
    <row r="762" spans="1:16" x14ac:dyDescent="0.35">
      <c r="A762" s="2" t="s">
        <v>40</v>
      </c>
      <c r="B762" s="2">
        <v>2881536</v>
      </c>
      <c r="C762" s="2" t="s">
        <v>33</v>
      </c>
      <c r="D762" s="2" t="s">
        <v>449</v>
      </c>
      <c r="E762" s="2" t="s">
        <v>451</v>
      </c>
      <c r="F762" s="6" t="s">
        <v>116</v>
      </c>
      <c r="G762" s="6" t="s">
        <v>141</v>
      </c>
      <c r="I762" s="2" t="s">
        <v>366</v>
      </c>
      <c r="L762" s="2" t="s">
        <v>794</v>
      </c>
      <c r="N762" s="2">
        <f t="shared" ca="1" si="33"/>
        <v>1</v>
      </c>
      <c r="O762" s="6">
        <f t="shared" ca="1" si="34"/>
        <v>45456</v>
      </c>
      <c r="P762" s="2">
        <f t="shared" ca="1" si="35"/>
        <v>1</v>
      </c>
    </row>
    <row r="763" spans="1:16" x14ac:dyDescent="0.35">
      <c r="A763" s="2" t="s">
        <v>36</v>
      </c>
      <c r="B763" s="2">
        <v>2884549</v>
      </c>
      <c r="C763" s="2" t="s">
        <v>33</v>
      </c>
      <c r="D763" s="2" t="s">
        <v>449</v>
      </c>
      <c r="E763" s="2" t="s">
        <v>451</v>
      </c>
      <c r="F763" s="6" t="s">
        <v>78</v>
      </c>
      <c r="G763" s="6">
        <v>45602</v>
      </c>
      <c r="I763" s="2" t="s">
        <v>366</v>
      </c>
      <c r="L763" s="2" t="s">
        <v>794</v>
      </c>
      <c r="N763" s="2">
        <f t="shared" ca="1" si="33"/>
        <v>105</v>
      </c>
      <c r="O763" s="6">
        <f t="shared" ca="1" si="34"/>
        <v>45456</v>
      </c>
      <c r="P763" s="2">
        <f t="shared" ca="1" si="35"/>
        <v>1</v>
      </c>
    </row>
    <row r="764" spans="1:16" x14ac:dyDescent="0.35">
      <c r="A764" s="2" t="s">
        <v>38</v>
      </c>
      <c r="B764" s="2">
        <v>2884652</v>
      </c>
      <c r="C764" s="2" t="s">
        <v>33</v>
      </c>
      <c r="D764" s="2" t="s">
        <v>449</v>
      </c>
      <c r="E764" s="2" t="s">
        <v>451</v>
      </c>
      <c r="F764" s="6" t="s">
        <v>78</v>
      </c>
      <c r="G764" s="6">
        <v>45602</v>
      </c>
      <c r="I764" s="2" t="s">
        <v>366</v>
      </c>
      <c r="L764" s="2" t="s">
        <v>794</v>
      </c>
      <c r="N764" s="2">
        <f t="shared" ca="1" si="33"/>
        <v>105</v>
      </c>
      <c r="O764" s="6">
        <f t="shared" ca="1" si="34"/>
        <v>45456</v>
      </c>
      <c r="P764" s="2">
        <f t="shared" ca="1" si="35"/>
        <v>1</v>
      </c>
    </row>
    <row r="765" spans="1:16" x14ac:dyDescent="0.35">
      <c r="A765" s="2" t="s">
        <v>42</v>
      </c>
      <c r="B765" s="2">
        <v>2884712</v>
      </c>
      <c r="C765" s="2" t="s">
        <v>33</v>
      </c>
      <c r="D765" s="2" t="s">
        <v>449</v>
      </c>
      <c r="E765" s="2" t="s">
        <v>451</v>
      </c>
      <c r="F765" s="6" t="s">
        <v>78</v>
      </c>
      <c r="G765" s="6">
        <v>45602</v>
      </c>
      <c r="I765" s="2" t="s">
        <v>366</v>
      </c>
      <c r="L765" s="2" t="s">
        <v>794</v>
      </c>
      <c r="N765" s="2">
        <f t="shared" ca="1" si="33"/>
        <v>105</v>
      </c>
      <c r="O765" s="6">
        <f t="shared" ca="1" si="34"/>
        <v>45456</v>
      </c>
      <c r="P765" s="2">
        <f t="shared" ca="1" si="35"/>
        <v>1</v>
      </c>
    </row>
    <row r="766" spans="1:16" x14ac:dyDescent="0.35">
      <c r="A766" s="2" t="s">
        <v>43</v>
      </c>
      <c r="B766" s="2">
        <v>2884865</v>
      </c>
      <c r="C766" s="2" t="s">
        <v>33</v>
      </c>
      <c r="D766" s="2" t="s">
        <v>449</v>
      </c>
      <c r="E766" s="2" t="s">
        <v>451</v>
      </c>
      <c r="F766" s="6" t="s">
        <v>78</v>
      </c>
      <c r="G766" s="6">
        <v>45602</v>
      </c>
      <c r="I766" s="2" t="s">
        <v>366</v>
      </c>
      <c r="L766" s="2" t="s">
        <v>794</v>
      </c>
      <c r="N766" s="2">
        <f t="shared" ca="1" si="33"/>
        <v>105</v>
      </c>
      <c r="O766" s="6">
        <f t="shared" ca="1" si="34"/>
        <v>45456</v>
      </c>
      <c r="P766" s="2">
        <f t="shared" ca="1" si="35"/>
        <v>1</v>
      </c>
    </row>
    <row r="767" spans="1:16" x14ac:dyDescent="0.35">
      <c r="A767" s="2" t="s">
        <v>39</v>
      </c>
      <c r="B767" s="2">
        <v>2888250</v>
      </c>
      <c r="C767" s="2" t="s">
        <v>33</v>
      </c>
      <c r="D767" s="2" t="s">
        <v>445</v>
      </c>
      <c r="E767" s="2" t="s">
        <v>452</v>
      </c>
      <c r="F767" s="6" t="s">
        <v>124</v>
      </c>
      <c r="G767" s="6" t="s">
        <v>67</v>
      </c>
      <c r="I767" s="2" t="s">
        <v>447</v>
      </c>
      <c r="L767" s="2" t="s">
        <v>453</v>
      </c>
      <c r="N767" s="2">
        <f t="shared" ca="1" si="33"/>
        <v>3</v>
      </c>
      <c r="O767" s="6">
        <f t="shared" ca="1" si="34"/>
        <v>45456</v>
      </c>
      <c r="P767" s="2">
        <f t="shared" ca="1" si="35"/>
        <v>1</v>
      </c>
    </row>
    <row r="768" spans="1:16" x14ac:dyDescent="0.35">
      <c r="A768" s="2" t="s">
        <v>60</v>
      </c>
      <c r="B768" s="2">
        <v>2889412</v>
      </c>
      <c r="C768" s="2" t="s">
        <v>33</v>
      </c>
      <c r="D768" s="2" t="s">
        <v>459</v>
      </c>
      <c r="E768" s="2" t="s">
        <v>461</v>
      </c>
      <c r="F768" s="6" t="s">
        <v>124</v>
      </c>
      <c r="G768" s="6" t="s">
        <v>91</v>
      </c>
      <c r="I768" s="2" t="s">
        <v>460</v>
      </c>
      <c r="L768" s="2" t="s">
        <v>795</v>
      </c>
      <c r="N768" s="2">
        <f t="shared" ca="1" si="33"/>
        <v>2</v>
      </c>
      <c r="O768" s="6">
        <f t="shared" ca="1" si="34"/>
        <v>45456</v>
      </c>
      <c r="P768" s="2">
        <f t="shared" ca="1" si="35"/>
        <v>1</v>
      </c>
    </row>
    <row r="769" spans="1:16" x14ac:dyDescent="0.35">
      <c r="A769" s="2" t="s">
        <v>61</v>
      </c>
      <c r="B769" s="2">
        <v>2889506</v>
      </c>
      <c r="C769" s="2" t="s">
        <v>33</v>
      </c>
      <c r="D769" s="2" t="s">
        <v>454</v>
      </c>
      <c r="E769" s="2" t="s">
        <v>455</v>
      </c>
      <c r="F769" s="6" t="s">
        <v>124</v>
      </c>
      <c r="G769" s="6" t="s">
        <v>141</v>
      </c>
      <c r="I769" s="2" t="s">
        <v>456</v>
      </c>
      <c r="L769" s="2" t="s">
        <v>457</v>
      </c>
      <c r="N769" s="2">
        <f t="shared" ca="1" si="33"/>
        <v>1</v>
      </c>
      <c r="O769" s="6">
        <f t="shared" ca="1" si="34"/>
        <v>45456</v>
      </c>
      <c r="P769" s="2">
        <f t="shared" ca="1" si="35"/>
        <v>1</v>
      </c>
    </row>
    <row r="770" spans="1:16" x14ac:dyDescent="0.35">
      <c r="A770" s="2" t="s">
        <v>59</v>
      </c>
      <c r="B770" s="2">
        <v>2889551</v>
      </c>
      <c r="C770" s="2" t="s">
        <v>33</v>
      </c>
      <c r="D770" s="2" t="s">
        <v>454</v>
      </c>
      <c r="E770" s="2" t="s">
        <v>796</v>
      </c>
      <c r="F770" s="6" t="s">
        <v>124</v>
      </c>
      <c r="G770" s="6" t="s">
        <v>67</v>
      </c>
      <c r="I770" s="2" t="s">
        <v>456</v>
      </c>
      <c r="L770" s="2" t="s">
        <v>797</v>
      </c>
      <c r="N770" s="2">
        <f t="shared" ca="1" si="33"/>
        <v>3</v>
      </c>
      <c r="O770" s="6">
        <f t="shared" ca="1" si="34"/>
        <v>45456</v>
      </c>
      <c r="P770" s="2">
        <f t="shared" ca="1" si="35"/>
        <v>1</v>
      </c>
    </row>
    <row r="771" spans="1:16" x14ac:dyDescent="0.35">
      <c r="A771" s="2" t="s">
        <v>37</v>
      </c>
      <c r="B771" s="2">
        <v>2889593</v>
      </c>
      <c r="C771" s="2" t="s">
        <v>33</v>
      </c>
      <c r="D771" s="2" t="s">
        <v>459</v>
      </c>
      <c r="E771" s="2" t="s">
        <v>455</v>
      </c>
      <c r="F771" s="6" t="s">
        <v>124</v>
      </c>
      <c r="G771" s="6" t="s">
        <v>91</v>
      </c>
      <c r="I771" s="2" t="s">
        <v>460</v>
      </c>
      <c r="L771" s="2" t="s">
        <v>457</v>
      </c>
      <c r="N771" s="2">
        <f t="shared" ca="1" si="33"/>
        <v>2</v>
      </c>
      <c r="O771" s="6">
        <f t="shared" ca="1" si="34"/>
        <v>45456</v>
      </c>
      <c r="P771" s="2">
        <f t="shared" ref="P771:P773" ca="1" si="36">NETWORKDAYS(O771,TODAY())</f>
        <v>1</v>
      </c>
    </row>
    <row r="772" spans="1:16" x14ac:dyDescent="0.35">
      <c r="A772" s="2" t="s">
        <v>40</v>
      </c>
      <c r="B772" s="2">
        <v>2890851</v>
      </c>
      <c r="C772" s="2" t="s">
        <v>33</v>
      </c>
      <c r="D772" s="2" t="s">
        <v>459</v>
      </c>
      <c r="E772" s="2" t="s">
        <v>450</v>
      </c>
      <c r="F772" s="6" t="s">
        <v>74</v>
      </c>
      <c r="G772" s="6" t="s">
        <v>67</v>
      </c>
      <c r="I772" s="2" t="s">
        <v>460</v>
      </c>
      <c r="L772" s="2" t="s">
        <v>538</v>
      </c>
      <c r="N772" s="2">
        <f t="shared" ca="1" si="33"/>
        <v>3</v>
      </c>
      <c r="O772" s="6">
        <f t="shared" ca="1" si="34"/>
        <v>45456</v>
      </c>
      <c r="P772" s="2">
        <f t="shared" ca="1" si="36"/>
        <v>1</v>
      </c>
    </row>
    <row r="773" spans="1:16" x14ac:dyDescent="0.35">
      <c r="A773" s="2" t="s">
        <v>36</v>
      </c>
      <c r="B773" s="2">
        <v>2891690</v>
      </c>
      <c r="C773" s="2" t="s">
        <v>33</v>
      </c>
      <c r="D773" s="2" t="s">
        <v>454</v>
      </c>
      <c r="E773" s="2" t="s">
        <v>463</v>
      </c>
      <c r="F773" s="6" t="s">
        <v>74</v>
      </c>
      <c r="G773" s="6" t="s">
        <v>91</v>
      </c>
      <c r="I773" s="2" t="s">
        <v>456</v>
      </c>
      <c r="L773" s="2" t="s">
        <v>798</v>
      </c>
      <c r="N773" s="2">
        <f t="shared" ca="1" si="33"/>
        <v>2</v>
      </c>
      <c r="O773" s="6">
        <f t="shared" ca="1" si="34"/>
        <v>45456</v>
      </c>
      <c r="P773" s="2">
        <f t="shared" ca="1" si="36"/>
        <v>1</v>
      </c>
    </row>
  </sheetData>
  <autoFilter ref="A2:Q773" xr:uid="{00000000-0001-0000-0000-000000000000}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AC8F-4A2B-48C7-A5E1-895B948DC638}">
  <sheetPr codeName="Planilha5">
    <tabColor rgb="FFC00000"/>
  </sheetPr>
  <dimension ref="G1:N17"/>
  <sheetViews>
    <sheetView showGridLines="0" topLeftCell="B1" workbookViewId="0">
      <selection activeCell="H6" sqref="H6"/>
    </sheetView>
  </sheetViews>
  <sheetFormatPr defaultRowHeight="14.5" x14ac:dyDescent="0.35"/>
  <cols>
    <col min="1" max="1" width="13.36328125" bestFit="1" customWidth="1"/>
    <col min="2" max="2" width="14.36328125" customWidth="1"/>
    <col min="7" max="7" width="27.54296875" customWidth="1"/>
    <col min="8" max="8" width="14.54296875" bestFit="1" customWidth="1"/>
    <col min="14" max="14" width="18.08984375" bestFit="1" customWidth="1"/>
  </cols>
  <sheetData>
    <row r="1" spans="7:14" ht="26.4" customHeight="1" x14ac:dyDescent="0.35"/>
    <row r="4" spans="7:14" x14ac:dyDescent="0.35">
      <c r="G4" s="16" t="s">
        <v>44</v>
      </c>
      <c r="H4" s="16" t="s">
        <v>45</v>
      </c>
      <c r="I4" s="16" t="s">
        <v>46</v>
      </c>
      <c r="M4" s="18" t="s">
        <v>52</v>
      </c>
      <c r="N4" s="18" t="s">
        <v>53</v>
      </c>
    </row>
    <row r="5" spans="7:14" x14ac:dyDescent="0.35">
      <c r="G5" s="14" t="s">
        <v>32</v>
      </c>
      <c r="H5" s="14">
        <f>COUNTIF(Distribuição!A:A,"Adrieli")</f>
        <v>209</v>
      </c>
      <c r="I5" s="15">
        <f>H5/H17</f>
        <v>0.27107652399481191</v>
      </c>
      <c r="K5" s="2"/>
      <c r="M5" s="18" t="s">
        <v>54</v>
      </c>
      <c r="N5" s="18" t="s">
        <v>55</v>
      </c>
    </row>
    <row r="6" spans="7:14" x14ac:dyDescent="0.35">
      <c r="G6" s="14" t="s">
        <v>41</v>
      </c>
      <c r="H6" s="14">
        <f>COUNTIF(Distribuição!A:A,"Angla")</f>
        <v>26</v>
      </c>
      <c r="I6" s="15">
        <f>H6/H17</f>
        <v>3.372243839169909E-2</v>
      </c>
      <c r="K6" s="2"/>
      <c r="M6" s="18" t="s">
        <v>50</v>
      </c>
      <c r="N6" s="18" t="s">
        <v>55</v>
      </c>
    </row>
    <row r="7" spans="7:14" x14ac:dyDescent="0.35">
      <c r="G7" s="14" t="s">
        <v>40</v>
      </c>
      <c r="H7" s="14">
        <f>COUNTIF(Distribuição!A:A,"Camila")</f>
        <v>102</v>
      </c>
      <c r="I7" s="15">
        <f>H7/H17</f>
        <v>0.13229571984435798</v>
      </c>
      <c r="K7" s="2"/>
      <c r="M7" s="18" t="s">
        <v>51</v>
      </c>
      <c r="N7" s="18" t="s">
        <v>55</v>
      </c>
    </row>
    <row r="8" spans="7:14" x14ac:dyDescent="0.35">
      <c r="G8" s="14" t="s">
        <v>36</v>
      </c>
      <c r="H8" s="14">
        <f>COUNTIF(Distribuição!A:A,"Carolina")</f>
        <v>93</v>
      </c>
      <c r="I8" s="15">
        <f>H8/H17</f>
        <v>0.12062256809338522</v>
      </c>
      <c r="K8" s="2"/>
    </row>
    <row r="9" spans="7:14" x14ac:dyDescent="0.35">
      <c r="G9" s="14" t="s">
        <v>38</v>
      </c>
      <c r="H9" s="14">
        <f>COUNTIF(Distribuição!A:A,"Fabiana")</f>
        <v>129</v>
      </c>
      <c r="I9" s="15">
        <f>H9/H17</f>
        <v>0.16731517509727625</v>
      </c>
      <c r="K9" s="2"/>
    </row>
    <row r="10" spans="7:14" x14ac:dyDescent="0.35">
      <c r="G10" s="14" t="s">
        <v>42</v>
      </c>
      <c r="H10" s="14">
        <f>COUNTIF(Distribuição!A:A,"Fernanda")</f>
        <v>121</v>
      </c>
      <c r="I10" s="15">
        <f>H10/H17</f>
        <v>0.1569390402075227</v>
      </c>
      <c r="K10" s="2"/>
    </row>
    <row r="11" spans="7:14" x14ac:dyDescent="0.35">
      <c r="G11" s="14" t="s">
        <v>43</v>
      </c>
      <c r="H11" s="14">
        <f>COUNTIF(Distribuição!A:A,"Isabela Correia")</f>
        <v>15</v>
      </c>
      <c r="I11" s="15">
        <f>H11/H17</f>
        <v>1.9455252918287938E-2</v>
      </c>
      <c r="K11" s="2"/>
    </row>
    <row r="12" spans="7:14" x14ac:dyDescent="0.35">
      <c r="G12" s="14" t="s">
        <v>37</v>
      </c>
      <c r="H12" s="14">
        <f>COUNTIF(Distribuição!A:A,"Pamela")</f>
        <v>16</v>
      </c>
      <c r="I12" s="15">
        <f>H12/H17</f>
        <v>2.0752269779507133E-2</v>
      </c>
      <c r="K12" s="2"/>
    </row>
    <row r="13" spans="7:14" x14ac:dyDescent="0.35">
      <c r="G13" s="14" t="s">
        <v>39</v>
      </c>
      <c r="H13" s="14">
        <f>COUNTIF(Distribuição!A:A,"Vinicius")</f>
        <v>15</v>
      </c>
      <c r="I13" s="15">
        <f>H13/H17</f>
        <v>1.9455252918287938E-2</v>
      </c>
      <c r="K13" s="2"/>
    </row>
    <row r="14" spans="7:14" x14ac:dyDescent="0.35">
      <c r="G14" s="14" t="s">
        <v>60</v>
      </c>
      <c r="H14" s="14">
        <f>COUNTIF(Distribuição!A:A,"Sabrina")</f>
        <v>15</v>
      </c>
      <c r="I14" s="15">
        <f>Tabela1[[#This Row],[Chamados]]/H17</f>
        <v>1.9455252918287938E-2</v>
      </c>
      <c r="K14" s="2"/>
    </row>
    <row r="15" spans="7:14" ht="12.65" customHeight="1" x14ac:dyDescent="0.35">
      <c r="G15" s="14" t="s">
        <v>61</v>
      </c>
      <c r="H15" s="14">
        <f>COUNTIF(Distribuição!A:A,"Kathleen")</f>
        <v>15</v>
      </c>
      <c r="I15" s="15">
        <f>Tabela1[[#This Row],[Chamados]]/H17</f>
        <v>1.9455252918287938E-2</v>
      </c>
    </row>
    <row r="16" spans="7:14" x14ac:dyDescent="0.35">
      <c r="G16" s="14" t="s">
        <v>59</v>
      </c>
      <c r="H16" s="14">
        <f>COUNTIF(Distribuição!A:A,"Isabela Rodrigues")</f>
        <v>15</v>
      </c>
      <c r="I16" s="15">
        <f>H16/H17</f>
        <v>1.9455252918287938E-2</v>
      </c>
    </row>
    <row r="17" spans="7:9" x14ac:dyDescent="0.35">
      <c r="G17" s="14" t="s">
        <v>35</v>
      </c>
      <c r="H17" s="14">
        <f>SUM(H5:H16)</f>
        <v>771</v>
      </c>
      <c r="I17" s="15">
        <f>H17/H17</f>
        <v>1</v>
      </c>
    </row>
  </sheetData>
  <conditionalFormatting sqref="H5:I1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{050D35DC-136A-4856-84B1-2BF726753584}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0D35DC-136A-4856-84B1-2BF7267535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H5:I17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9922-E1F8-42C0-91D2-1B4E8FD9F676}">
  <sheetPr codeName="Planilha6"/>
  <dimension ref="A3:L26"/>
  <sheetViews>
    <sheetView topLeftCell="A13" workbookViewId="0">
      <selection activeCell="D24" sqref="D24"/>
    </sheetView>
  </sheetViews>
  <sheetFormatPr defaultRowHeight="14.5" x14ac:dyDescent="0.35"/>
  <cols>
    <col min="1" max="1" width="24.1796875" bestFit="1" customWidth="1"/>
    <col min="2" max="2" width="18.54296875" bestFit="1" customWidth="1"/>
    <col min="3" max="3" width="4" bestFit="1" customWidth="1"/>
    <col min="4" max="5" width="10" bestFit="1" customWidth="1"/>
    <col min="7" max="7" width="14.54296875" bestFit="1" customWidth="1"/>
    <col min="8" max="8" width="18.54296875" bestFit="1" customWidth="1"/>
    <col min="9" max="11" width="2.6328125" bestFit="1" customWidth="1"/>
    <col min="12" max="12" width="10" bestFit="1" customWidth="1"/>
    <col min="13" max="13" width="2.6328125" bestFit="1" customWidth="1"/>
    <col min="14" max="14" width="10" bestFit="1" customWidth="1"/>
  </cols>
  <sheetData>
    <row r="3" spans="1:12" x14ac:dyDescent="0.35">
      <c r="A3" s="8" t="s">
        <v>48</v>
      </c>
      <c r="B3" s="8" t="s">
        <v>49</v>
      </c>
      <c r="G3" s="8" t="s">
        <v>30</v>
      </c>
      <c r="H3" t="s">
        <v>48</v>
      </c>
    </row>
    <row r="4" spans="1:12" x14ac:dyDescent="0.35">
      <c r="A4" s="8" t="s">
        <v>30</v>
      </c>
      <c r="B4">
        <v>1</v>
      </c>
      <c r="C4" t="s">
        <v>31</v>
      </c>
      <c r="G4" s="2">
        <v>360</v>
      </c>
      <c r="H4">
        <v>383</v>
      </c>
    </row>
    <row r="5" spans="1:12" x14ac:dyDescent="0.35">
      <c r="A5" s="2" t="s">
        <v>32</v>
      </c>
      <c r="B5">
        <v>209</v>
      </c>
      <c r="C5">
        <v>209</v>
      </c>
      <c r="G5" s="2" t="s">
        <v>33</v>
      </c>
      <c r="H5">
        <v>388</v>
      </c>
    </row>
    <row r="6" spans="1:12" x14ac:dyDescent="0.35">
      <c r="A6" s="2" t="s">
        <v>41</v>
      </c>
      <c r="B6">
        <v>26</v>
      </c>
      <c r="C6">
        <v>26</v>
      </c>
      <c r="G6" s="2" t="s">
        <v>31</v>
      </c>
      <c r="H6">
        <v>771</v>
      </c>
    </row>
    <row r="7" spans="1:12" x14ac:dyDescent="0.35">
      <c r="A7" s="2" t="s">
        <v>40</v>
      </c>
      <c r="B7">
        <v>22</v>
      </c>
      <c r="C7">
        <v>22</v>
      </c>
    </row>
    <row r="8" spans="1:12" x14ac:dyDescent="0.35">
      <c r="A8" s="2" t="s">
        <v>36</v>
      </c>
      <c r="B8">
        <v>119</v>
      </c>
      <c r="C8">
        <v>119</v>
      </c>
    </row>
    <row r="9" spans="1:12" x14ac:dyDescent="0.35">
      <c r="A9" s="2" t="s">
        <v>38</v>
      </c>
      <c r="B9">
        <v>89</v>
      </c>
      <c r="C9">
        <v>89</v>
      </c>
    </row>
    <row r="10" spans="1:12" x14ac:dyDescent="0.35">
      <c r="A10" s="2" t="s">
        <v>42</v>
      </c>
      <c r="B10">
        <v>22</v>
      </c>
      <c r="C10">
        <v>22</v>
      </c>
      <c r="H10" s="8" t="s">
        <v>49</v>
      </c>
    </row>
    <row r="11" spans="1:12" x14ac:dyDescent="0.35">
      <c r="A11" s="2" t="s">
        <v>43</v>
      </c>
      <c r="B11">
        <v>21</v>
      </c>
      <c r="C11">
        <v>21</v>
      </c>
      <c r="H11">
        <v>-13</v>
      </c>
      <c r="I11">
        <v>-8</v>
      </c>
      <c r="J11">
        <v>-4</v>
      </c>
      <c r="K11">
        <v>-3</v>
      </c>
      <c r="L11" t="s">
        <v>31</v>
      </c>
    </row>
    <row r="12" spans="1:12" x14ac:dyDescent="0.35">
      <c r="A12" s="2" t="s">
        <v>37</v>
      </c>
      <c r="B12">
        <v>91</v>
      </c>
      <c r="C12">
        <v>91</v>
      </c>
      <c r="G12" t="s">
        <v>48</v>
      </c>
      <c r="H12">
        <v>3</v>
      </c>
      <c r="I12">
        <v>1</v>
      </c>
      <c r="J12">
        <v>2</v>
      </c>
      <c r="K12">
        <v>6</v>
      </c>
      <c r="L12">
        <v>12</v>
      </c>
    </row>
    <row r="13" spans="1:12" x14ac:dyDescent="0.35">
      <c r="A13" s="2" t="s">
        <v>39</v>
      </c>
      <c r="B13">
        <v>106</v>
      </c>
      <c r="C13">
        <v>106</v>
      </c>
    </row>
    <row r="14" spans="1:12" x14ac:dyDescent="0.35">
      <c r="A14" s="2" t="s">
        <v>31</v>
      </c>
      <c r="B14">
        <v>705</v>
      </c>
      <c r="C14">
        <v>705</v>
      </c>
    </row>
    <row r="22" spans="1:4" x14ac:dyDescent="0.35">
      <c r="A22" s="8" t="s">
        <v>48</v>
      </c>
      <c r="B22" s="8" t="s">
        <v>49</v>
      </c>
    </row>
    <row r="23" spans="1:4" x14ac:dyDescent="0.35">
      <c r="A23" s="8" t="s">
        <v>30</v>
      </c>
      <c r="B23">
        <v>128</v>
      </c>
      <c r="C23">
        <v>106</v>
      </c>
      <c r="D23" t="s">
        <v>31</v>
      </c>
    </row>
    <row r="24" spans="1:4" x14ac:dyDescent="0.35">
      <c r="A24" s="2" t="s">
        <v>23</v>
      </c>
      <c r="B24">
        <v>37</v>
      </c>
      <c r="C24">
        <v>1</v>
      </c>
      <c r="D24">
        <v>38</v>
      </c>
    </row>
    <row r="25" spans="1:4" x14ac:dyDescent="0.35">
      <c r="A25" s="2" t="s">
        <v>24</v>
      </c>
      <c r="B25">
        <v>5</v>
      </c>
      <c r="C25">
        <v>1</v>
      </c>
      <c r="D25">
        <v>6</v>
      </c>
    </row>
    <row r="26" spans="1:4" x14ac:dyDescent="0.35">
      <c r="A26" s="2" t="s">
        <v>31</v>
      </c>
      <c r="B26">
        <v>42</v>
      </c>
      <c r="C26">
        <v>2</v>
      </c>
      <c r="D26">
        <v>44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1D3CF-68C3-4EB5-BE74-B5905E154F43}">
  <sheetPr codeName="Planilha4"/>
  <dimension ref="A1:B13"/>
  <sheetViews>
    <sheetView workbookViewId="0">
      <selection activeCell="B15" sqref="B15"/>
    </sheetView>
  </sheetViews>
  <sheetFormatPr defaultRowHeight="14.5" x14ac:dyDescent="0.35"/>
  <cols>
    <col min="1" max="1" width="15.36328125" bestFit="1" customWidth="1"/>
    <col min="2" max="2" width="34.08984375" bestFit="1" customWidth="1"/>
  </cols>
  <sheetData>
    <row r="1" spans="1:2" x14ac:dyDescent="0.35">
      <c r="A1" s="25" t="s">
        <v>799</v>
      </c>
      <c r="B1" s="25" t="s">
        <v>800</v>
      </c>
    </row>
    <row r="2" spans="1:2" x14ac:dyDescent="0.35">
      <c r="A2" s="24" t="s">
        <v>32</v>
      </c>
      <c r="B2" s="24" t="s">
        <v>801</v>
      </c>
    </row>
    <row r="3" spans="1:2" x14ac:dyDescent="0.35">
      <c r="A3" s="24" t="s">
        <v>37</v>
      </c>
      <c r="B3" s="24" t="s">
        <v>33</v>
      </c>
    </row>
    <row r="4" spans="1:2" x14ac:dyDescent="0.35">
      <c r="A4" s="24" t="s">
        <v>40</v>
      </c>
      <c r="B4" s="24">
        <v>360</v>
      </c>
    </row>
    <row r="5" spans="1:2" x14ac:dyDescent="0.35">
      <c r="A5" s="24" t="s">
        <v>36</v>
      </c>
      <c r="B5" s="24">
        <v>360</v>
      </c>
    </row>
    <row r="6" spans="1:2" x14ac:dyDescent="0.35">
      <c r="A6" s="24" t="s">
        <v>38</v>
      </c>
      <c r="B6" s="24">
        <v>360</v>
      </c>
    </row>
    <row r="7" spans="1:2" x14ac:dyDescent="0.35">
      <c r="A7" s="24" t="s">
        <v>42</v>
      </c>
      <c r="B7" s="24">
        <v>360</v>
      </c>
    </row>
    <row r="8" spans="1:2" x14ac:dyDescent="0.35">
      <c r="A8" s="24" t="s">
        <v>43</v>
      </c>
      <c r="B8" s="24" t="s">
        <v>33</v>
      </c>
    </row>
    <row r="9" spans="1:2" x14ac:dyDescent="0.35">
      <c r="A9" s="24" t="s">
        <v>41</v>
      </c>
      <c r="B9" s="24" t="s">
        <v>802</v>
      </c>
    </row>
    <row r="10" spans="1:2" x14ac:dyDescent="0.35">
      <c r="A10" s="24" t="s">
        <v>39</v>
      </c>
      <c r="B10" s="24" t="s">
        <v>33</v>
      </c>
    </row>
    <row r="11" spans="1:2" x14ac:dyDescent="0.35">
      <c r="A11" s="24" t="s">
        <v>60</v>
      </c>
      <c r="B11" s="24" t="s">
        <v>33</v>
      </c>
    </row>
    <row r="12" spans="1:2" x14ac:dyDescent="0.35">
      <c r="A12" s="24" t="s">
        <v>61</v>
      </c>
      <c r="B12" s="24" t="s">
        <v>33</v>
      </c>
    </row>
    <row r="13" spans="1:2" x14ac:dyDescent="0.35">
      <c r="A13" s="24" t="s">
        <v>59</v>
      </c>
      <c r="B13" s="24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B733-71E8-4CB7-960A-12510BA295CA}">
  <sheetPr codeName="Planilha7">
    <tabColor rgb="FFFFC000"/>
  </sheetPr>
  <dimension ref="A1"/>
  <sheetViews>
    <sheetView showGridLines="0" workbookViewId="0">
      <selection activeCell="L8" sqref="L8"/>
    </sheetView>
  </sheetViews>
  <sheetFormatPr defaultRowHeight="14.5" x14ac:dyDescent="0.35"/>
  <cols>
    <col min="1" max="1" width="77.81640625" bestFit="1" customWidth="1"/>
    <col min="2" max="2" width="33.6328125" bestFit="1" customWidth="1"/>
  </cols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306CA74464074A99494648652DC470" ma:contentTypeVersion="9" ma:contentTypeDescription="Create a new document." ma:contentTypeScope="" ma:versionID="b5c79f2bbd836ea817694172326a1700">
  <xsd:schema xmlns:xsd="http://www.w3.org/2001/XMLSchema" xmlns:xs="http://www.w3.org/2001/XMLSchema" xmlns:p="http://schemas.microsoft.com/office/2006/metadata/properties" xmlns:ns2="ad517f9f-6620-46a6-bda5-b64ae1cbd8b4" xmlns:ns3="58bebcd3-3583-41d3-b583-ef7120c6d8a2" targetNamespace="http://schemas.microsoft.com/office/2006/metadata/properties" ma:root="true" ma:fieldsID="2c194a25e7eee26d170805d50919f637" ns2:_="" ns3:_="">
    <xsd:import namespace="ad517f9f-6620-46a6-bda5-b64ae1cbd8b4"/>
    <xsd:import namespace="58bebcd3-3583-41d3-b583-ef7120c6d8a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517f9f-6620-46a6-bda5-b64ae1cbd8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bebcd3-3583-41d3-b583-ef7120c6d8a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4750A1B-E729-4715-A7AD-E0B79FAC26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0947BA-871C-46C9-8BC2-1182352411DF}">
  <ds:schemaRefs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purl.org/dc/elements/1.1/"/>
    <ds:schemaRef ds:uri="58bebcd3-3583-41d3-b583-ef7120c6d8a2"/>
    <ds:schemaRef ds:uri="http://schemas.microsoft.com/office/2006/metadata/properties"/>
    <ds:schemaRef ds:uri="ad517f9f-6620-46a6-bda5-b64ae1cbd8b4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95F0DC8-1BD1-4E72-926F-569C30BB63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517f9f-6620-46a6-bda5-b64ae1cbd8b4"/>
    <ds:schemaRef ds:uri="58bebcd3-3583-41d3-b583-ef7120c6d8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360</vt:lpstr>
      <vt:lpstr>Fluig</vt:lpstr>
      <vt:lpstr>Distribuição</vt:lpstr>
      <vt:lpstr>Media de distribuição</vt:lpstr>
      <vt:lpstr>Dinâmicas</vt:lpstr>
      <vt:lpstr>Nomes</vt:lpstr>
      <vt:lpstr>Como Utilizar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Coelho, Beatriz Ferreira dos Santos</dc:creator>
  <cp:lastModifiedBy>Coelho, Beatriz Ferreira dos Santos</cp:lastModifiedBy>
  <dcterms:created xsi:type="dcterms:W3CDTF">2024-05-24T18:07:11Z</dcterms:created>
  <dcterms:modified xsi:type="dcterms:W3CDTF">2024-06-13T23:24:23Z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0x010100CF306CA74464074A99494648652DC470</vt:lpwstr>
  </property>
</Properties>
</file>